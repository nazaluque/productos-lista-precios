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34c8f470b4c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546c967916294f12"/>
    <x:sheet xmlns:r="http://schemas.openxmlformats.org/officeDocument/2006/relationships" name="CARNE_IMPORT" sheetId="2" r:id="Ra124ad96c67747ff"/>
    <x:sheet xmlns:r="http://schemas.openxmlformats.org/officeDocument/2006/relationships" name="PESCADO_IMPORT" sheetId="3" r:id="R6751284aa1584f6f"/>
    <x:sheet xmlns:r="http://schemas.openxmlformats.org/officeDocument/2006/relationships" name="REVISION" sheetId="4" r:id="R8160c65201da49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b/>
      <x:sz val="11"/>
      <x:color rgb="FF0D1520"/>
      <x:name val="Carlito"/>
    </x:font>
    <x:font>
      <x:sz val="11"/>
      <x:color rgb="FF17212E"/>
      <x:name val="Carlito"/>
    </x:font>
    <x:font>
      <x:b/>
      <x:sz val="20"/>
      <x:color rgb="FFD7B35A"/>
      <x:name val="Carlito"/>
    </x:font>
    <x:font>
      <x:b/>
      <x:sz val="11"/>
      <x:color rgb="FFD7B35A"/>
      <x:name val="Carlito"/>
    </x:font>
    <x:font>
      <x:sz val="12"/>
      <x:color rgb="FF17212E"/>
      <x:name val="Carlito"/>
    </x:font>
    <x:font>
      <x:sz val="11"/>
      <x:color rgb="FF664D03"/>
      <x:name val="Carlito"/>
    </x:font>
    <x:font>
      <x:sz val="11"/>
      <x:color rgb="FF4A3A1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B9984D"/>
      </x:patternFill>
    </x:fill>
    <x:fill>
      <x:patternFill patternType="solid">
        <x:fgColor rgb="FFF8F7F3"/>
      </x:patternFill>
    </x:fill>
    <x:fill>
      <x:patternFill patternType="solid">
        <x:fgColor rgb="FF0D1520"/>
      </x:patternFill>
    </x:fill>
    <x:fill>
      <x:patternFill patternType="solid">
        <x:fgColor rgb="FFE7DFC9"/>
      </x:patternFill>
    </x:fill>
    <x:fill>
      <x:patternFill patternType="solid">
        <x:fgColor rgb="FFFFF3CD"/>
      </x:patternFill>
    </x:fill>
    <x:fill>
      <x:patternFill patternType="solid">
        <x:fgColor rgb="FFFFF7E5"/>
      </x:patternFill>
    </x:fill>
  </x:fills>
  <x:borders count="6">
    <x:border/>
    <x:border>
      <x:left style="thin">
        <x:color rgb="FF8C7338"/>
      </x:left>
      <x:right style="thin">
        <x:color rgb="FF8C7338"/>
      </x:right>
      <x:top style="thin">
        <x:color rgb="FF8C7338"/>
      </x:top>
      <x:bottom style="thin">
        <x:color rgb="FF8C7338"/>
      </x:bottom>
    </x:border>
    <x:border>
      <x:left style="thin">
        <x:color rgb="FFD9D4C8"/>
      </x:left>
      <x:right style="thin">
        <x:color rgb="FFD9D4C8"/>
      </x:right>
      <x:top style="thin">
        <x:color rgb="FFD9D4C8"/>
      </x:top>
      <x:bottom style="thin">
        <x:color rgb="FFD9D4C8"/>
      </x:bottom>
    </x:border>
    <x:border>
      <x:left style="medium">
        <x:color rgb="FFB9984D"/>
      </x:left>
      <x:right style="medium">
        <x:color rgb="FFB9984D"/>
      </x:right>
      <x:top style="medium">
        <x:color rgb="FFB9984D"/>
      </x:top>
      <x:bottom style="medium">
        <x:color rgb="FFB9984D"/>
      </x:bottom>
    </x:border>
    <x:border>
      <x:left style="thin">
        <x:color rgb="FFE0C36B"/>
      </x:left>
      <x:right style="thin">
        <x:color rgb="FFE0C36B"/>
      </x:right>
      <x:top style="thin">
        <x:color rgb="FFE0C36B"/>
      </x:top>
      <x:bottom style="thin">
        <x:color rgb="FFE0C36B"/>
      </x:bottom>
    </x:border>
    <x:border>
      <x:left style="thin">
        <x:color rgb="FFB9984D"/>
      </x:left>
      <x:right style="thin">
        <x:color rgb="FFB9984D"/>
      </x:right>
      <x:top style="thin">
        <x:color rgb="FFB9984D"/>
      </x:top>
      <x:bottom style="thin">
        <x:color rgb="FFB9984D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5" borderId="2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2" fillId="3" borderId="2" xfId="0" applyNumberFormat="1" applyFont="1" applyFill="1" applyBorder="1" applyAlignment="1">
      <x:alignment horizontal="center"/>
    </x:xf>
    <x:xf numFmtId="0" fontId="1" fillId="5" borderId="3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6" fillId="6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/>
    <x:xf numFmtId="0" fontId="4" fillId="4" borderId="5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4" xfId="0" applyNumberFormat="1" applyFont="1" applyFill="1" applyBorder="1"/>
    <x:xf numFmtId="0" fontId="7" fillId="7" borderId="4" xfId="0" applyNumberFormat="1" applyFont="1" applyFill="1" applyBorder="1" applyAlignment="1">
      <x:alignment wrapText="1"/>
    </x:xf>
    <x:xf numFmtId="0" fontId="7" fillId="7" borderId="4" xfId="0" applyNumberFormat="1" applyFont="1" applyFill="1" applyBorder="1" applyAlignment="1">
      <x:alignment vertical="center" wrapText="1"/>
    </x:xf>
    <x:xf numFmtId="200" fontId="7" fillId="7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22562A"/>
      </x:font>
      <x:fill>
        <x:patternFill patternType="solid">
          <x:bgColor rgb="FFD8EAD9"/>
        </x:patternFill>
      </x:fill>
    </x:dxf>
    <x:dxf>
      <x:font>
        <x:b/>
        <x:color rgb="FF8B2E27"/>
      </x:font>
      <x:fill>
        <x:patternFill patternType="solid">
          <x:bgColor rgb="FFF5D8D5"/>
        </x:patternFill>
      </x:fill>
    </x:dxf>
    <x:dxf>
      <x:font>
        <x:b/>
        <x:color rgb="FF22562A"/>
      </x:font>
      <x:fill>
        <x:patternFill patternType="solid">
          <x:bgColor rgb="FFD8EAD9"/>
        </x:patternFill>
      </x:fill>
    </x:dxf>
    <x:dxf>
      <x:font>
        <x:b/>
        <x:color rgb="FF8B2E27"/>
      </x:font>
      <x:fill>
        <x:patternFill patternType="solid">
          <x:bgColor rgb="FFF5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fe7e4f69b94649" /><Relationship Type="http://schemas.openxmlformats.org/officeDocument/2006/relationships/theme" Target="/xl/theme/theme1.xml" Id="Ra7c416e4260e4af2" /><Relationship Type="http://schemas.openxmlformats.org/officeDocument/2006/relationships/sharedStrings" Target="/xl/sharedStrings.xml" Id="Rcac62b62449b4d72" /><Relationship Type="http://schemas.openxmlformats.org/officeDocument/2006/relationships/worksheet" Target="/xl/worksheets/sheet1.xml" Id="R546c967916294f12" /><Relationship Type="http://schemas.openxmlformats.org/officeDocument/2006/relationships/worksheet" Target="/xl/worksheets/sheet2.xml" Id="Ra124ad96c67747ff" /><Relationship Type="http://schemas.openxmlformats.org/officeDocument/2006/relationships/worksheet" Target="/xl/worksheets/sheet3.xml" Id="R6751284aa1584f6f" /><Relationship Type="http://schemas.openxmlformats.org/officeDocument/2006/relationships/worksheet" Target="/xl/worksheets/sheet4.xml" Id="R8160c65201da49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6" hidden="0" customWidth="1"/>
    <x:col min="5" max="5" width="22" hidden="0" customWidth="1"/>
    <x:col min="6" max="6" width="22" hidden="0" customWidth="1"/>
  </x:cols>
  <x:sheetData>
    <x:row r="1">
      <x:c r="A1" s="17" t="str">
        <x:v>FRN · CATÁLOGO MAESTRO NORMALIZADO · v0.3</x:v>
      </x:c>
      <x:c r="B1" s="17" t="str">
        <x:v>FRN · CATÁLOGO MAESTRO NORMALIZADO · v0.3</x:v>
      </x:c>
      <x:c r="C1" s="17" t="str">
        <x:v>FRN · CATÁLOGO MAESTRO NORMALIZADO · v0.3</x:v>
      </x:c>
      <x:c r="D1" s="17" t="str">
        <x:v>FRN · CATÁLOGO MAESTRO NORMALIZADO · v0.3</x:v>
      </x:c>
      <x:c r="E1" s="17" t="str">
        <x:v>FRN · CATÁLOGO MAESTRO NORMALIZADO · v0.3</x:v>
      </x:c>
      <x:c r="F1" s="17" t="str">
        <x:v>FRN · CATÁLOGO MAESTRO NORMALIZADO · v0.3</x:v>
      </x:c>
    </x:row>
    <x:row r="2">
      <x:c r="A2" s="17" t="str">
        <x:v>FRN · CATÁLOGO MAESTRO NORMALIZADO · v0.3</x:v>
      </x:c>
      <x:c r="B2" s="17" t="str">
        <x:v>FRN · CATÁLOGO MAESTRO NORMALIZADO · v0.3</x:v>
      </x:c>
      <x:c r="C2" s="17" t="str">
        <x:v>FRN · CATÁLOGO MAESTRO NORMALIZADO · v0.3</x:v>
      </x:c>
      <x:c r="D2" s="17" t="str">
        <x:v>FRN · CATÁLOGO MAESTRO NORMALIZADO · v0.3</x:v>
      </x:c>
      <x:c r="E2" s="17" t="str">
        <x:v>FRN · CATÁLOGO MAESTRO NORMALIZADO · v0.3</x:v>
      </x:c>
      <x:c r="F2" s="17" t="str">
        <x:v>FRN · CATÁLOGO MAESTRO NORMALIZADO · v0.3</x:v>
      </x:c>
    </x:row>
    <x:row r="3"/>
    <x:row r="4" ht="26.399999618530273" hidden="0" customHeight="1">
      <x:c r="A4" s="19" t="str">
        <x:v>Categoría</x:v>
      </x:c>
      <x:c r="B4" s="19" t="str">
        <x:v>Referencias stock</x:v>
      </x:c>
      <x:c r="C4" s="19" t="str">
        <x:v>Publicables</x:v>
      </x:c>
      <x:c r="D4" s="19" t="str">
        <x:v>Con precio</x:v>
      </x:c>
      <x:c r="E4" s="19" t="str">
        <x:v>Precio pendiente</x:v>
      </x:c>
      <x:c r="F4" s="19" t="str">
        <x:v>No publicar</x:v>
      </x:c>
    </x:row>
    <x:row r="5" ht="15" hidden="0" customHeight="1">
      <x:c r="A5" s="8" t="str">
        <x:v>Carne</x:v>
      </x:c>
      <x:c r="B5" s="23" t="n">
        <x:f>COUNTA('CARNE_IMPORT'!$A$2:$A$35)</x:f>
        <x:v>34</x:v>
      </x:c>
      <x:c r="C5" s="23" t="n">
        <x:f>COUNTIF('CARNE_IMPORT'!$G$2:$G$35,"SI")</x:f>
        <x:v>27</x:v>
      </x:c>
      <x:c r="D5" s="23" t="n">
        <x:f>COUNTIFS('CARNE_IMPORT'!$G$2:$G$35,"SI",'CARNE_IMPORT'!$E$2:$E$35,"&gt;0")</x:f>
        <x:v>18</x:v>
      </x:c>
      <x:c r="E5" s="23" t="n">
        <x:f>COUNTIFS('CARNE_IMPORT'!$G$2:$G$35,"SI",'CARNE_IMPORT'!$E$2:$E$35,"=0")</x:f>
        <x:v>9</x:v>
      </x:c>
      <x:c r="F5" s="23" t="n">
        <x:f>COUNTIF('CARNE_IMPORT'!$G$2:$G$35,"NO")</x:f>
        <x:v>7</x:v>
      </x:c>
    </x:row>
    <x:row r="6" ht="15" hidden="0" customHeight="1">
      <x:c r="A6" s="8" t="str">
        <x:v>Pescado / Marisco</x:v>
      </x:c>
      <x:c r="B6" s="23" t="n">
        <x:f>COUNTA('PESCADO_IMPORT'!$A$2:$A$47)</x:f>
        <x:v>46</x:v>
      </x:c>
      <x:c r="C6" s="23" t="n">
        <x:f>COUNTIF('PESCADO_IMPORT'!$G$2:$G$47,"SI")</x:f>
        <x:v>44</x:v>
      </x:c>
      <x:c r="D6" s="23" t="n">
        <x:f>COUNTIFS('PESCADO_IMPORT'!$G$2:$G$47,"SI",'PESCADO_IMPORT'!$E$2:$E$47,"&gt;0")</x:f>
        <x:v>25</x:v>
      </x:c>
      <x:c r="E6" s="23" t="n">
        <x:f>COUNTIFS('PESCADO_IMPORT'!$G$2:$G$47,"SI",'PESCADO_IMPORT'!$E$2:$E$47,"=0")</x:f>
        <x:v>19</x:v>
      </x:c>
      <x:c r="F6" s="23" t="n">
        <x:f>COUNTIF('PESCADO_IMPORT'!$G$2:$G$47,"NO")</x:f>
        <x:v>2</x:v>
      </x:c>
    </x:row>
    <x:row r="7" ht="15" hidden="0" customHeight="1">
      <x:c r="A7" s="22" t="str">
        <x:v>TOTAL</x:v>
      </x:c>
      <x:c r="B7" s="24" t="n">
        <x:f>SUM(B5:B6)</x:f>
        <x:v>80</x:v>
      </x:c>
      <x:c r="C7" s="24" t="n">
        <x:f>SUM(C5:C6)</x:f>
        <x:v>71</x:v>
      </x:c>
      <x:c r="D7" s="24" t="n">
        <x:f>SUM(D5:D6)</x:f>
        <x:v>43</x:v>
      </x:c>
      <x:c r="E7" s="24" t="n">
        <x:f>SUM(E5:E6)</x:f>
        <x:v>28</x:v>
      </x:c>
      <x:c r="F7" s="24" t="n">
        <x:f>SUM(F5:F6)</x:f>
        <x:v>9</x:v>
      </x:c>
    </x:row>
    <x:row r="8"/>
    <x:row r="9" ht="15" hidden="0" customHeight="1">
      <x:c r="A9" s="26" t="str">
        <x:v>INSTRUCCIONES DE PUBLICACIÓN</x:v>
      </x:c>
      <x:c r="B9" s="26" t="str">
        <x:v>INSTRUCCIONES DE PUBLICACIÓN</x:v>
      </x:c>
      <x:c r="C9" s="26" t="str">
        <x:v>INSTRUCCIONES DE PUBLICACIÓN</x:v>
      </x:c>
      <x:c r="D9" s="26" t="str">
        <x:v>INSTRUCCIONES DE PUBLICACIÓN</x:v>
      </x:c>
      <x:c r="E9" s="26" t="str">
        <x:v>INSTRUCCIONES DE PUBLICACIÓN</x:v>
      </x:c>
      <x:c r="F9" s="26" t="str">
        <x:v>INSTRUCCIONES DE PUBLICACIÓN</x:v>
      </x:c>
    </x:row>
    <x:row r="10" ht="15" hidden="0" customHeight="1">
      <x:c r="A10" s="29" t="str">
        <x:v>1. En WordPress abre FRN Stock.</x:v>
      </x:c>
      <x:c r="B10" s="29"/>
      <x:c r="C10" s="29"/>
      <x:c r="D10" s="29"/>
      <x:c r="E10" s="29"/>
      <x:c r="F10" s="29"/>
    </x:row>
    <x:row r="11" ht="15" hidden="0" customHeight="1">
      <x:c r="A11" s="29" t="str">
        <x:v>2. Selecciona Carne y sube este mismo Excel.</x:v>
      </x:c>
      <x:c r="B11" s="29"/>
      <x:c r="C11" s="29"/>
      <x:c r="D11" s="29"/>
      <x:c r="E11" s="29"/>
      <x:c r="F11" s="29"/>
    </x:row>
    <x:row r="12" ht="15" hidden="0" customHeight="1">
      <x:c r="A12" s="29" t="str">
        <x:v>3. Previsualiza y publica.</x:v>
      </x:c>
      <x:c r="B12" s="29"/>
      <x:c r="C12" s="29"/>
      <x:c r="D12" s="29"/>
      <x:c r="E12" s="29"/>
      <x:c r="F12" s="29"/>
    </x:row>
    <x:row r="13" ht="15" hidden="0" customHeight="1">
      <x:c r="A13" s="29" t="str">
        <x:v>4. Repite seleccionando Pescado / Marisco.</x:v>
      </x:c>
      <x:c r="B13" s="29"/>
      <x:c r="C13" s="29"/>
      <x:c r="D13" s="29"/>
      <x:c r="E13" s="29"/>
      <x:c r="F13" s="29"/>
    </x:row>
    <x:row r="14" ht="15" hidden="0" customHeight="1">
      <x:c r="A14" s="29" t="str">
        <x:v>5. Las filas Publicar = NO nunca se incorporan a la web.</x:v>
      </x:c>
      <x:c r="B14" s="29"/>
      <x:c r="C14" s="29"/>
      <x:c r="D14" s="29"/>
      <x:c r="E14" s="29"/>
      <x:c r="F14" s="29"/>
    </x:row>
    <x:row r="15"/>
    <x:row r="16" ht="26.399999618530273" hidden="0" customHeight="1">
      <x:c r="A16" s="33" t="str">
        <x:v>CRITERIO: el código y el nombre/formato del stock son la referencia principal.</x:v>
      </x:c>
      <x:c r="B16" s="33"/>
      <x:c r="C16" s="33"/>
      <x:c r="D16" s="33"/>
      <x:c r="E16" s="33"/>
      <x:c r="F16" s="33"/>
    </x:row>
    <x:row r="17" ht="26.399999618530273" hidden="0" customHeight="1">
      <x:c r="A17" s="33" t="str">
        <x:v>Si el nombre/formato coincide, se informa el precio de la lista; si no coincide, el precio queda en 0.</x:v>
      </x:c>
      <x:c r="B17" s="33"/>
      <x:c r="C17" s="33"/>
      <x:c r="D17" s="33"/>
      <x:c r="E17" s="33"/>
      <x:c r="F17" s="33"/>
    </x:row>
    <x:row r="18" ht="26.399999618530273" hidden="0" customHeight="1">
      <x:c r="A18" s="33" t="str">
        <x:v>Las filas con precio 0 se publican como Consultar precio y pueden editarse manualmente en WordPress.</x:v>
      </x:c>
      <x:c r="B18" s="33"/>
      <x:c r="C18" s="33"/>
      <x:c r="D18" s="33"/>
      <x:c r="E18" s="33"/>
      <x:c r="F18" s="33"/>
    </x:row>
  </x:sheetData>
  <x:mergeCells>
    <x:mergeCell ref="A1:F2"/>
    <x:mergeCell ref="A9:F9"/>
    <x:mergeCell ref="A10:F10"/>
    <x:mergeCell ref="A11:F11"/>
    <x:mergeCell ref="A12:F12"/>
    <x:mergeCell ref="A13:F13"/>
    <x:mergeCell ref="A14:F14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48" hidden="0" customWidth="1"/>
    <x:col min="4" max="4" width="14" hidden="0" customWidth="1"/>
    <x:col min="5" max="5" width="14" hidden="0" customWidth="1"/>
    <x:col min="6" max="6" width="11" hidden="0" customWidth="1"/>
    <x:col min="7" max="7" width="11" hidden="0" customWidth="1"/>
    <x:col min="8" max="8" width="27" hidden="0" customWidth="1"/>
    <x:col min="9" max="9" width="33" hidden="0" customWidth="1"/>
  </x:cols>
  <x:sheetData>
    <x:row r="1" ht="15" hidden="0" customHeight="1">
      <x:c r="A1" s="5" t="str">
        <x:v>Código</x:v>
      </x:c>
      <x:c r="B1" s="5" t="str">
        <x:v>Marca</x:v>
      </x:c>
      <x:c r="C1" s="5" t="str">
        <x:v>Producto</x:v>
      </x:c>
      <x:c r="D1" s="5" t="str">
        <x:v>Stock Kg</x:v>
      </x:c>
      <x:c r="E1" s="5" t="str">
        <x:v>Precio €/Kg</x:v>
      </x:c>
      <x:c r="F1" s="5" t="str">
        <x:v>Oferta</x:v>
      </x:c>
      <x:c r="G1" s="5" t="str">
        <x:v>Publicar</x:v>
      </x:c>
      <x:c r="H1" s="5" t="str">
        <x:v>Estado</x:v>
      </x:c>
      <x:c r="I1" s="5" t="str">
        <x:v>Fuente</x:v>
      </x:c>
    </x:row>
    <x:row r="2" ht="39.599998474121094" hidden="0" customHeight="1">
      <x:c r="A2" s="13" t="str">
        <x:v>C00004</x:v>
      </x:c>
      <x:c r="B2" s="10" t="str">
        <x:v>MUGE</x:v>
      </x:c>
      <x:c r="C2" s="10" t="str">
        <x:v>BIFE ANCHO CON TAPA</x:v>
      </x:c>
      <x:c r="D2" s="11" t="n">
        <x:v>5222.68</x:v>
      </x:c>
      <x:c r="E2" s="11" t="n">
        <x:v>21.99</x:v>
      </x:c>
      <x:c r="F2" s="12" t="str">
        <x:v>NO</x:v>
      </x:c>
      <x:c r="G2" s="12" t="str">
        <x:v>SI</x:v>
      </x:c>
      <x:c r="H2" s="10" t="str">
        <x:v>OK</x:v>
      </x:c>
      <x:c r="I2" s="10" t="str">
        <x:v>Lista junio-julio 2026</x:v>
      </x:c>
    </x:row>
    <x:row r="3" ht="39.599998474121094" hidden="0" customHeight="1">
      <x:c r="A3" s="13" t="str">
        <x:v>C00005</x:v>
      </x:c>
      <x:c r="B3" s="10" t="str">
        <x:v>MUGE</x:v>
      </x:c>
      <x:c r="C3" s="10" t="str">
        <x:v>BIFE ANCHO SIN TAPA</x:v>
      </x:c>
      <x:c r="D3" s="11" t="n">
        <x:v>64.55</x:v>
      </x:c>
      <x:c r="E3" s="11" t="n">
        <x:v>31.5</x:v>
      </x:c>
      <x:c r="F3" s="12" t="str">
        <x:v>NO</x:v>
      </x:c>
      <x:c r="G3" s="12" t="str">
        <x:v>SI</x:v>
      </x:c>
      <x:c r="H3" s="10" t="str">
        <x:v>OK</x:v>
      </x:c>
      <x:c r="I3" s="10" t="str">
        <x:v>Lista junio-julio 2026</x:v>
      </x:c>
    </x:row>
    <x:row r="4" ht="39.599998474121094" hidden="0" customHeight="1">
      <x:c r="A4" s="13" t="str">
        <x:v>C00010</x:v>
      </x:c>
      <x:c r="B4" s="10" t="str">
        <x:v>MUGE</x:v>
      </x:c>
      <x:c r="C4" s="10" t="str">
        <x:v>COLITA DE CUADRIL</x:v>
      </x:c>
      <x:c r="D4" s="11" t="n">
        <x:v>0</x:v>
      </x:c>
      <x:c r="E4" s="11" t="n">
        <x:v>13.9</x:v>
      </x:c>
      <x:c r="F4" s="12" t="str">
        <x:v>NO</x:v>
      </x:c>
      <x:c r="G4" s="12" t="str">
        <x:v>NO</x:v>
      </x:c>
      <x:c r="H4" s="10" t="str">
        <x:v>SIN STOCK</x:v>
      </x:c>
      <x:c r="I4" s="10" t="str">
        <x:v>Lista junio-julio 2026</x:v>
      </x:c>
    </x:row>
    <x:row r="5" ht="39.599998474121094" hidden="0" customHeight="1">
      <x:c r="A5" s="13" t="str">
        <x:v>C00013</x:v>
      </x:c>
      <x:c r="B5" s="10" t="str">
        <x:v>MUGE</x:v>
      </x:c>
      <x:c r="C5" s="10" t="str">
        <x:v>ENTRAÑA</x:v>
      </x:c>
      <x:c r="D5" s="11" t="n">
        <x:v>803.23</x:v>
      </x:c>
      <x:c r="E5" s="11" t="n">
        <x:v>23.9</x:v>
      </x:c>
      <x:c r="F5" s="12" t="str">
        <x:v>NO</x:v>
      </x:c>
      <x:c r="G5" s="12" t="str">
        <x:v>SI</x:v>
      </x:c>
      <x:c r="H5" s="10" t="str">
        <x:v>OK</x:v>
      </x:c>
      <x:c r="I5" s="10" t="str">
        <x:v>Lista junio-julio 2026</x:v>
      </x:c>
    </x:row>
    <x:row r="6" ht="79.19999694824219" hidden="0" customHeight="1">
      <x:c r="A6" s="13" t="str">
        <x:v>C00014</x:v>
      </x:c>
      <x:c r="B6" s="10" t="str">
        <x:v>MUGE</x:v>
      </x:c>
      <x:c r="C6" s="10" t="str">
        <x:v>FALDA PORCIONADA</x:v>
      </x:c>
      <x:c r="D6" s="11" t="n">
        <x:v>0</x:v>
      </x:c>
      <x:c r="E6" s="11" t="n">
        <x:v>0</x:v>
      </x:c>
      <x:c r="F6" s="12" t="str">
        <x:v>NO</x:v>
      </x:c>
      <x:c r="G6" s="12" t="str">
        <x:v>NO</x:v>
      </x:c>
      <x:c r="H6" s="10" t="str">
        <x:v>SIN STOCK</x:v>
      </x:c>
      <x:c r="I6" s="10" t="str">
        <x:v>Sin coincidencia exacta de nombre/formato</x:v>
      </x:c>
    </x:row>
    <x:row r="7" ht="39.599998474121094" hidden="0" customHeight="1">
      <x:c r="A7" s="13" t="str">
        <x:v>C00015</x:v>
      </x:c>
      <x:c r="B7" s="10" t="str">
        <x:v>MUGE</x:v>
      </x:c>
      <x:c r="C7" s="10" t="str">
        <x:v>FALDA SIN HUESO</x:v>
      </x:c>
      <x:c r="D7" s="11" t="n">
        <x:v>0</x:v>
      </x:c>
      <x:c r="E7" s="11" t="n">
        <x:v>6.91</x:v>
      </x:c>
      <x:c r="F7" s="12" t="str">
        <x:v>NO</x:v>
      </x:c>
      <x:c r="G7" s="12" t="str">
        <x:v>NO</x:v>
      </x:c>
      <x:c r="H7" s="10" t="str">
        <x:v>SIN STOCK</x:v>
      </x:c>
      <x:c r="I7" s="10" t="str">
        <x:v>Lista junio-julio 2026</x:v>
      </x:c>
    </x:row>
    <x:row r="8" ht="79.19999694824219" hidden="0" customHeight="1">
      <x:c r="A8" s="13" t="str">
        <x:v>C00016</x:v>
      </x:c>
      <x:c r="B8" s="10" t="str">
        <x:v>MUGE</x:v>
      </x:c>
      <x:c r="C8" s="10" t="str">
        <x:v>HAMBURGUESA BLACK ANGUS 180G</x:v>
      </x:c>
      <x:c r="D8" s="11" t="n">
        <x:v>506.16</x:v>
      </x:c>
      <x:c r="E8" s="11" t="n">
        <x:v>0</x:v>
      </x:c>
      <x:c r="F8" s="12" t="str">
        <x:v>NO</x:v>
      </x:c>
      <x:c r="G8" s="12" t="str">
        <x:v>SI</x:v>
      </x:c>
      <x:c r="H8" s="10" t="str">
        <x:v>PRECIO PENDIENTE</x:v>
      </x:c>
      <x:c r="I8" s="10" t="str">
        <x:v>Sin coincidencia exacta de nombre/formato</x:v>
      </x:c>
    </x:row>
    <x:row r="9" ht="39.599998474121094" hidden="0" customHeight="1">
      <x:c r="A9" s="13" t="str">
        <x:v>C00018</x:v>
      </x:c>
      <x:c r="B9" s="10" t="str">
        <x:v>MUGE</x:v>
      </x:c>
      <x:c r="C9" s="10" t="str">
        <x:v>LOMO SIN CORDON</x:v>
      </x:c>
      <x:c r="D9" s="11" t="n">
        <x:v>878.29</x:v>
      </x:c>
      <x:c r="E9" s="11" t="n">
        <x:v>34.9</x:v>
      </x:c>
      <x:c r="F9" s="12" t="str">
        <x:v>NO</x:v>
      </x:c>
      <x:c r="G9" s="12" t="str">
        <x:v>SI</x:v>
      </x:c>
      <x:c r="H9" s="10" t="str">
        <x:v>OK</x:v>
      </x:c>
      <x:c r="I9" s="10" t="str">
        <x:v>Lista junio-julio 2026</x:v>
      </x:c>
    </x:row>
    <x:row r="10" ht="39.599998474121094" hidden="0" customHeight="1">
      <x:c r="A10" s="13" t="str">
        <x:v>C00019</x:v>
      </x:c>
      <x:c r="B10" s="10" t="str">
        <x:v>MUGE</x:v>
      </x:c>
      <x:c r="C10" s="10" t="str">
        <x:v>MARUCHA</x:v>
      </x:c>
      <x:c r="D10" s="11" t="n">
        <x:v>2793.67</x:v>
      </x:c>
      <x:c r="E10" s="11" t="n">
        <x:v>12.7</x:v>
      </x:c>
      <x:c r="F10" s="12" t="str">
        <x:v>NO</x:v>
      </x:c>
      <x:c r="G10" s="12" t="str">
        <x:v>SI</x:v>
      </x:c>
      <x:c r="H10" s="10" t="str">
        <x:v>OK</x:v>
      </x:c>
      <x:c r="I10" s="10" t="str">
        <x:v>Lista junio-julio 2026</x:v>
      </x:c>
    </x:row>
    <x:row r="11" ht="39.599998474121094" hidden="0" customHeight="1">
      <x:c r="A11" s="13" t="str">
        <x:v>C00025</x:v>
      </x:c>
      <x:c r="B11" s="10" t="str">
        <x:v>MUGE</x:v>
      </x:c>
      <x:c r="C11" s="10" t="str">
        <x:v>RECORTE DE TROCEO</x:v>
      </x:c>
      <x:c r="D11" s="11" t="n">
        <x:v>615.27</x:v>
      </x:c>
      <x:c r="E11" s="11" t="n">
        <x:v>8.55</x:v>
      </x:c>
      <x:c r="F11" s="12" t="str">
        <x:v>NO</x:v>
      </x:c>
      <x:c r="G11" s="12" t="str">
        <x:v>SI</x:v>
      </x:c>
      <x:c r="H11" s="10" t="str">
        <x:v>OK</x:v>
      </x:c>
      <x:c r="I11" s="10" t="str">
        <x:v>Lista junio-julio 2026</x:v>
      </x:c>
    </x:row>
    <x:row r="12" ht="39.599998474121094" hidden="0" customHeight="1">
      <x:c r="A12" s="13" t="str">
        <x:v>C00028</x:v>
      </x:c>
      <x:c r="B12" s="10" t="str">
        <x:v>MUGE</x:v>
      </x:c>
      <x:c r="C12" s="10" t="str">
        <x:v>TAPA DE BIFE ANCHO</x:v>
      </x:c>
      <x:c r="D12" s="11" t="n">
        <x:v>1559.29</x:v>
      </x:c>
      <x:c r="E12" s="11" t="n">
        <x:v>13.92</x:v>
      </x:c>
      <x:c r="F12" s="12" t="str">
        <x:v>NO</x:v>
      </x:c>
      <x:c r="G12" s="12" t="str">
        <x:v>SI</x:v>
      </x:c>
      <x:c r="H12" s="10" t="str">
        <x:v>OK</x:v>
      </x:c>
      <x:c r="I12" s="10" t="str">
        <x:v>Lista junio-julio 2026</x:v>
      </x:c>
    </x:row>
    <x:row r="13" ht="39.599998474121094" hidden="0" customHeight="1">
      <x:c r="A13" s="13" t="str">
        <x:v>C00029</x:v>
      </x:c>
      <x:c r="B13" s="10" t="str">
        <x:v>MUGE</x:v>
      </x:c>
      <x:c r="C13" s="10" t="str">
        <x:v>TAPA DE CUADRIL</x:v>
      </x:c>
      <x:c r="D13" s="11" t="n">
        <x:v>877.61</x:v>
      </x:c>
      <x:c r="E13" s="11" t="n">
        <x:v>20.9</x:v>
      </x:c>
      <x:c r="F13" s="12" t="str">
        <x:v>NO</x:v>
      </x:c>
      <x:c r="G13" s="12" t="str">
        <x:v>SI</x:v>
      </x:c>
      <x:c r="H13" s="10" t="str">
        <x:v>OK</x:v>
      </x:c>
      <x:c r="I13" s="10" t="str">
        <x:v>Lista junio-julio 2026</x:v>
      </x:c>
    </x:row>
    <x:row r="14" ht="39.599998474121094" hidden="0" customHeight="1">
      <x:c r="A14" s="13" t="str">
        <x:v>C00030</x:v>
      </x:c>
      <x:c r="B14" s="10" t="str">
        <x:v>MUGE</x:v>
      </x:c>
      <x:c r="C14" s="10" t="str">
        <x:v>VACIO ENTERO</x:v>
      </x:c>
      <x:c r="D14" s="11" t="n">
        <x:v>697.59</x:v>
      </x:c>
      <x:c r="E14" s="11" t="n">
        <x:v>11.9</x:v>
      </x:c>
      <x:c r="F14" s="12" t="str">
        <x:v>NO</x:v>
      </x:c>
      <x:c r="G14" s="12" t="str">
        <x:v>SI</x:v>
      </x:c>
      <x:c r="H14" s="10" t="str">
        <x:v>OK</x:v>
      </x:c>
      <x:c r="I14" s="10" t="str">
        <x:v>Lista junio-julio 2026</x:v>
      </x:c>
    </x:row>
    <x:row r="15" ht="79.19999694824219" hidden="0" customHeight="1">
      <x:c r="A15" s="13" t="str">
        <x:v>C00031</x:v>
      </x:c>
      <x:c r="B15" s="10" t="str">
        <x:v>MUGE</x:v>
      </x:c>
      <x:c r="C15" s="10" t="str">
        <x:v>VACIO PORCIONADO A</x:v>
      </x:c>
      <x:c r="D15" s="11" t="n">
        <x:v>465.073</x:v>
      </x:c>
      <x:c r="E15" s="11" t="n">
        <x:v>0</x:v>
      </x:c>
      <x:c r="F15" s="12" t="str">
        <x:v>NO</x:v>
      </x:c>
      <x:c r="G15" s="12" t="str">
        <x:v>SI</x:v>
      </x:c>
      <x:c r="H15" s="10" t="str">
        <x:v>PRECIO PENDIENTE</x:v>
      </x:c>
      <x:c r="I15" s="10" t="str">
        <x:v>Sin coincidencia exacta de nombre/formato</x:v>
      </x:c>
    </x:row>
    <x:row r="16" ht="79.19999694824219" hidden="0" customHeight="1">
      <x:c r="A16" s="13" t="str">
        <x:v>C00105</x:v>
      </x:c>
      <x:c r="B16" s="10" t="str">
        <x:v>PICO</x:v>
      </x:c>
      <x:c r="C16" s="10" t="str">
        <x:v>LOMO SIN CORDON</x:v>
      </x:c>
      <x:c r="D16" s="11" t="n">
        <x:v>76.12</x:v>
      </x:c>
      <x:c r="E16" s="11" t="n">
        <x:v>0</x:v>
      </x:c>
      <x:c r="F16" s="12" t="str">
        <x:v>NO</x:v>
      </x:c>
      <x:c r="G16" s="12" t="str">
        <x:v>SI</x:v>
      </x:c>
      <x:c r="H16" s="10" t="str">
        <x:v>PRECIO PENDIENTE</x:v>
      </x:c>
      <x:c r="I16" s="10" t="str">
        <x:v>Sin coincidencia exacta de nombre/formato</x:v>
      </x:c>
    </x:row>
    <x:row r="17" ht="39.599998474121094" hidden="0" customHeight="1">
      <x:c r="A17" s="13" t="str">
        <x:v>C00108</x:v>
      </x:c>
      <x:c r="B17" s="10" t="str">
        <x:v>PICO</x:v>
      </x:c>
      <x:c r="C17" s="10" t="str">
        <x:v>TAPA DE CUADRIL</x:v>
      </x:c>
      <x:c r="D17" s="11" t="n">
        <x:v>905.82</x:v>
      </x:c>
      <x:c r="E17" s="11" t="n">
        <x:v>20.9</x:v>
      </x:c>
      <x:c r="F17" s="12" t="str">
        <x:v>NO</x:v>
      </x:c>
      <x:c r="G17" s="12" t="str">
        <x:v>SI</x:v>
      </x:c>
      <x:c r="H17" s="10" t="str">
        <x:v>OK</x:v>
      </x:c>
      <x:c r="I17" s="10" t="str">
        <x:v>Lista junio-julio 2026</x:v>
      </x:c>
    </x:row>
    <x:row r="18" ht="39.599998474121094" hidden="0" customHeight="1">
      <x:c r="A18" s="13" t="str">
        <x:v>C00200</x:v>
      </x:c>
      <x:c r="B18" s="10" t="str">
        <x:v>BLACK LABEL</x:v>
      </x:c>
      <x:c r="C18" s="10" t="str">
        <x:v>TAPA DE CUADRIL</x:v>
      </x:c>
      <x:c r="D18" s="11" t="n">
        <x:v>248.95</x:v>
      </x:c>
      <x:c r="E18" s="11" t="n">
        <x:v>18.9</x:v>
      </x:c>
      <x:c r="F18" s="12" t="str">
        <x:v>NO</x:v>
      </x:c>
      <x:c r="G18" s="12" t="str">
        <x:v>SI</x:v>
      </x:c>
      <x:c r="H18" s="10" t="str">
        <x:v>OK</x:v>
      </x:c>
      <x:c r="I18" s="10" t="str">
        <x:v>Lista junio-julio 2026</x:v>
      </x:c>
    </x:row>
    <x:row r="19" ht="79.19999694824219" hidden="0" customHeight="1">
      <x:c r="A19" s="13" t="str">
        <x:v>C00300</x:v>
      </x:c>
      <x:c r="B19" s="10" t="str">
        <x:v>ABP</x:v>
      </x:c>
      <x:c r="C19" s="10" t="str">
        <x:v>ASADO CON HUESO ANGUS IRLANDA</x:v>
      </x:c>
      <x:c r="D19" s="11" t="n">
        <x:v>0</x:v>
      </x:c>
      <x:c r="E19" s="11" t="n">
        <x:v>0</x:v>
      </x:c>
      <x:c r="F19" s="12" t="str">
        <x:v>NO</x:v>
      </x:c>
      <x:c r="G19" s="12" t="str">
        <x:v>NO</x:v>
      </x:c>
      <x:c r="H19" s="10" t="str">
        <x:v>SIN STOCK</x:v>
      </x:c>
      <x:c r="I19" s="10" t="str">
        <x:v>Sin coincidencia exacta de nombre/formato</x:v>
      </x:c>
    </x:row>
    <x:row r="20" ht="66" hidden="0" customHeight="1">
      <x:c r="A20" s="13" t="str">
        <x:v>C00350</x:v>
      </x:c>
      <x:c r="B20" s="10" t="str">
        <x:v>BLUESMOKE</x:v>
      </x:c>
      <x:c r="C20" s="10" t="str">
        <x:v>TOMAHAWK 800/1300 CAJA 5X2 PIEZAS</x:v>
      </x:c>
      <x:c r="D20" s="11" t="n">
        <x:v>544.73</x:v>
      </x:c>
      <x:c r="E20" s="11" t="n">
        <x:v>18.75</x:v>
      </x:c>
      <x:c r="F20" s="12" t="str">
        <x:v>NO</x:v>
      </x:c>
      <x:c r="G20" s="12" t="str">
        <x:v>SI</x:v>
      </x:c>
      <x:c r="H20" s="10" t="str">
        <x:v>OK</x:v>
      </x:c>
      <x:c r="I20" s="10" t="str">
        <x:v>Lista junio-julio 2026</x:v>
      </x:c>
    </x:row>
    <x:row r="21" ht="52.79999923706055" hidden="0" customHeight="1">
      <x:c r="A21" s="13" t="str">
        <x:v>C00351</x:v>
      </x:c>
      <x:c r="B21" s="10" t="str">
        <x:v>BLUESMOKE</x:v>
      </x:c>
      <x:c r="C21" s="10" t="str">
        <x:v>T-BONE 800/1000 CAJA 5X2 PIEZAS</x:v>
      </x:c>
      <x:c r="D21" s="11" t="n">
        <x:v>532.26</x:v>
      </x:c>
      <x:c r="E21" s="11" t="n">
        <x:v>20.9</x:v>
      </x:c>
      <x:c r="F21" s="12" t="str">
        <x:v>NO</x:v>
      </x:c>
      <x:c r="G21" s="12" t="str">
        <x:v>SI</x:v>
      </x:c>
      <x:c r="H21" s="10" t="str">
        <x:v>OK</x:v>
      </x:c>
      <x:c r="I21" s="10" t="str">
        <x:v>Lista junio-julio 2026</x:v>
      </x:c>
    </x:row>
    <x:row r="22" ht="79.19999694824219" hidden="0" customHeight="1">
      <x:c r="A22" s="13" t="str">
        <x:v>C00352</x:v>
      </x:c>
      <x:c r="B22" s="10" t="str">
        <x:v>BLUESMOKE</x:v>
      </x:c>
      <x:c r="C22" s="10" t="str">
        <x:v>COWBOY 700/900 CAJA 5X2 PIEZAS</x:v>
      </x:c>
      <x:c r="D22" s="11" t="n">
        <x:v>311.74</x:v>
      </x:c>
      <x:c r="E22" s="11" t="n">
        <x:v>0</x:v>
      </x:c>
      <x:c r="F22" s="12" t="str">
        <x:v>NO</x:v>
      </x:c>
      <x:c r="G22" s="12" t="str">
        <x:v>SI</x:v>
      </x:c>
      <x:c r="H22" s="10" t="str">
        <x:v>PRECIO PENDIENTE</x:v>
      </x:c>
      <x:c r="I22" s="10" t="str">
        <x:v>Sin coincidencia exacta de nombre/formato</x:v>
      </x:c>
    </x:row>
    <x:row r="23" ht="79.19999694824219" hidden="0" customHeight="1">
      <x:c r="A23" s="13" t="str">
        <x:v>C00400</x:v>
      </x:c>
      <x:c r="B23" s="10" t="str">
        <x:v>SAPHI</x:v>
      </x:c>
      <x:c r="C23" s="10" t="str">
        <x:v>BIFE ANGOSTO PORCIONADO</x:v>
      </x:c>
      <x:c r="D23" s="11" t="n">
        <x:v>591</x:v>
      </x:c>
      <x:c r="E23" s="11" t="n">
        <x:v>0</x:v>
      </x:c>
      <x:c r="F23" s="12" t="str">
        <x:v>NO</x:v>
      </x:c>
      <x:c r="G23" s="12" t="str">
        <x:v>SI</x:v>
      </x:c>
      <x:c r="H23" s="10" t="str">
        <x:v>PRECIO PENDIENTE</x:v>
      </x:c>
      <x:c r="I23" s="10" t="str">
        <x:v>Sin coincidencia exacta de nombre/formato</x:v>
      </x:c>
    </x:row>
    <x:row r="24" ht="39.599998474121094" hidden="0" customHeight="1">
      <x:c r="A24" s="13" t="str">
        <x:v>C00500</x:v>
      </x:c>
      <x:c r="B24" s="10" t="str">
        <x:v>FINEXCOR</x:v>
      </x:c>
      <x:c r="C24" s="10" t="str">
        <x:v>BIFE ANCHO SIN TAPA</x:v>
      </x:c>
      <x:c r="D24" s="11" t="n">
        <x:v>503.54</x:v>
      </x:c>
      <x:c r="E24" s="11" t="n">
        <x:v>26.9</x:v>
      </x:c>
      <x:c r="F24" s="12" t="str">
        <x:v>NO</x:v>
      </x:c>
      <x:c r="G24" s="12" t="str">
        <x:v>SI</x:v>
      </x:c>
      <x:c r="H24" s="10" t="str">
        <x:v>OK</x:v>
      </x:c>
      <x:c r="I24" s="10" t="str">
        <x:v>Lista junio-julio 2026</x:v>
      </x:c>
    </x:row>
    <x:row r="25" ht="79.19999694824219" hidden="0" customHeight="1">
      <x:c r="A25" s="13" t="str">
        <x:v>C00600</x:v>
      </x:c>
      <x:c r="B25" s="10" t="str">
        <x:v>KEPAK</x:v>
      </x:c>
      <x:c r="C25" s="10" t="str">
        <x:v>ASADO CON HUESO 3 COSTILLAS BLACK ANGUS</x:v>
      </x:c>
      <x:c r="D25" s="11" t="n">
        <x:v>3252.56</x:v>
      </x:c>
      <x:c r="E25" s="11" t="n">
        <x:v>0</x:v>
      </x:c>
      <x:c r="F25" s="12" t="str">
        <x:v>NO</x:v>
      </x:c>
      <x:c r="G25" s="12" t="str">
        <x:v>SI</x:v>
      </x:c>
      <x:c r="H25" s="10" t="str">
        <x:v>PRECIO PENDIENTE</x:v>
      </x:c>
      <x:c r="I25" s="10" t="str">
        <x:v>Sin coincidencia exacta de nombre/formato</x:v>
      </x:c>
    </x:row>
    <x:row r="26" ht="79.19999694824219" hidden="0" customHeight="1">
      <x:c r="A26" s="13" t="str">
        <x:v>C00601</x:v>
      </x:c>
      <x:c r="B26" s="10" t="str">
        <x:v>KEPAK</x:v>
      </x:c>
      <x:c r="C26" s="10" t="str">
        <x:v>BABILLA BLACK ANGUS</x:v>
      </x:c>
      <x:c r="D26" s="11" t="n">
        <x:v>662.96</x:v>
      </x:c>
      <x:c r="E26" s="11" t="n">
        <x:v>0</x:v>
      </x:c>
      <x:c r="F26" s="12" t="str">
        <x:v>NO</x:v>
      </x:c>
      <x:c r="G26" s="12" t="str">
        <x:v>SI</x:v>
      </x:c>
      <x:c r="H26" s="10" t="str">
        <x:v>PRECIO PENDIENTE</x:v>
      </x:c>
      <x:c r="I26" s="10" t="str">
        <x:v>Sin coincidencia exacta de nombre/formato</x:v>
      </x:c>
    </x:row>
    <x:row r="27" ht="79.19999694824219" hidden="0" customHeight="1">
      <x:c r="A27" s="13" t="str">
        <x:v>C00610</x:v>
      </x:c>
      <x:c r="B27" s="10" t="str">
        <x:v>KEPAK</x:v>
      </x:c>
      <x:c r="C27" s="10" t="str">
        <x:v>WAGYU ASADO CON HUESO 3 COSTILLAS</x:v>
      </x:c>
      <x:c r="D27" s="11" t="n">
        <x:v>0</x:v>
      </x:c>
      <x:c r="E27" s="11" t="n">
        <x:v>0</x:v>
      </x:c>
      <x:c r="F27" s="12" t="str">
        <x:v>NO</x:v>
      </x:c>
      <x:c r="G27" s="12" t="str">
        <x:v>NO</x:v>
      </x:c>
      <x:c r="H27" s="10" t="str">
        <x:v>SIN STOCK</x:v>
      </x:c>
      <x:c r="I27" s="10" t="str">
        <x:v>Sin coincidencia exacta de nombre/formato</x:v>
      </x:c>
    </x:row>
    <x:row r="28" ht="39.599998474121094" hidden="0" customHeight="1">
      <x:c r="A28" s="13" t="str">
        <x:v>C00700</x:v>
      </x:c>
      <x:c r="B28" s="10" t="str">
        <x:v>RECREO</x:v>
      </x:c>
      <x:c r="C28" s="10" t="str">
        <x:v>BIFE ANCHO SIN TAPA</x:v>
      </x:c>
      <x:c r="D28" s="11" t="n">
        <x:v>830.12</x:v>
      </x:c>
      <x:c r="E28" s="11" t="n">
        <x:v>26.9</x:v>
      </x:c>
      <x:c r="F28" s="12" t="str">
        <x:v>NO</x:v>
      </x:c>
      <x:c r="G28" s="12" t="str">
        <x:v>SI</x:v>
      </x:c>
      <x:c r="H28" s="10" t="str">
        <x:v>OK</x:v>
      </x:c>
      <x:c r="I28" s="10" t="str">
        <x:v>Lista junio-julio 2026</x:v>
      </x:c>
    </x:row>
    <x:row r="29" ht="79.19999694824219" hidden="0" customHeight="1">
      <x:c r="A29" s="13" t="str">
        <x:v>C00701</x:v>
      </x:c>
      <x:c r="B29" s="10" t="str">
        <x:v>RECREO</x:v>
      </x:c>
      <x:c r="C29" s="10" t="str">
        <x:v>PECETO</x:v>
      </x:c>
      <x:c r="D29" s="11" t="n">
        <x:v>0</x:v>
      </x:c>
      <x:c r="E29" s="11" t="n">
        <x:v>0</x:v>
      </x:c>
      <x:c r="F29" s="12" t="str">
        <x:v>NO</x:v>
      </x:c>
      <x:c r="G29" s="12" t="str">
        <x:v>NO</x:v>
      </x:c>
      <x:c r="H29" s="10" t="str">
        <x:v>SIN STOCK</x:v>
      </x:c>
      <x:c r="I29" s="10" t="str">
        <x:v>Sin coincidencia exacta de nombre/formato</x:v>
      </x:c>
    </x:row>
    <x:row r="30" ht="39.599998474121094" hidden="0" customHeight="1">
      <x:c r="A30" s="13" t="str">
        <x:v>C00800</x:v>
      </x:c>
      <x:c r="B30" s="10" t="str">
        <x:v>SIRSIL</x:v>
      </x:c>
      <x:c r="C30" s="10" t="str">
        <x:v>CORAZON DE CUADRIL</x:v>
      </x:c>
      <x:c r="D30" s="11" t="n">
        <x:v>524.42</x:v>
      </x:c>
      <x:c r="E30" s="11" t="n">
        <x:v>13.9</x:v>
      </x:c>
      <x:c r="F30" s="12" t="str">
        <x:v>NO</x:v>
      </x:c>
      <x:c r="G30" s="12" t="str">
        <x:v>SI</x:v>
      </x:c>
      <x:c r="H30" s="10" t="str">
        <x:v>OK</x:v>
      </x:c>
      <x:c r="I30" s="10" t="str">
        <x:v>Lista junio-julio 2026</x:v>
      </x:c>
    </x:row>
    <x:row r="31" ht="39.599998474121094" hidden="0" customHeight="1">
      <x:c r="A31" s="13" t="str">
        <x:v>C00900</x:v>
      </x:c>
      <x:c r="B31" s="10" t="str">
        <x:v>TACUAREMBO</x:v>
      </x:c>
      <x:c r="C31" s="10" t="str">
        <x:v>CORAZON DE CUADRIL</x:v>
      </x:c>
      <x:c r="D31" s="11" t="n">
        <x:v>445.8</x:v>
      </x:c>
      <x:c r="E31" s="11" t="n">
        <x:v>14.95</x:v>
      </x:c>
      <x:c r="F31" s="12" t="str">
        <x:v>NO</x:v>
      </x:c>
      <x:c r="G31" s="12" t="str">
        <x:v>SI</x:v>
      </x:c>
      <x:c r="H31" s="10" t="str">
        <x:v>OK</x:v>
      </x:c>
      <x:c r="I31" s="10" t="str">
        <x:v>Lista junio-julio 2026</x:v>
      </x:c>
    </x:row>
    <x:row r="32" ht="79.19999694824219" hidden="0" customHeight="1">
      <x:c r="A32" s="13" t="str">
        <x:v>C01000</x:v>
      </x:c>
      <x:c r="B32" s="10" t="str">
        <x:v>TAYLOR</x:v>
      </x:c>
      <x:c r="C32" s="10" t="str">
        <x:v>CARRILLERA DE VACUNO S/HUESO AL VACIO NZ</x:v>
      </x:c>
      <x:c r="D32" s="11" t="n">
        <x:v>611.02</x:v>
      </x:c>
      <x:c r="E32" s="11" t="n">
        <x:v>12.95</x:v>
      </x:c>
      <x:c r="F32" s="12" t="str">
        <x:v>NO</x:v>
      </x:c>
      <x:c r="G32" s="12" t="str">
        <x:v>SI</x:v>
      </x:c>
      <x:c r="H32" s="10" t="str">
        <x:v>OK</x:v>
      </x:c>
      <x:c r="I32" s="10" t="str">
        <x:v>Lista junio-julio 2026</x:v>
      </x:c>
    </x:row>
    <x:row r="33" ht="79.19999694824219" hidden="0" customHeight="1">
      <x:c r="A33" s="13" t="str">
        <x:v>C01100</x:v>
      </x:c>
      <x:c r="B33" s="10" t="str">
        <x:v>DAWN MEATS</x:v>
      </x:c>
      <x:c r="C33" s="10" t="str">
        <x:v>AGUJA BLACK ANGUS</x:v>
      </x:c>
      <x:c r="D33" s="11" t="n">
        <x:v>0</x:v>
      </x:c>
      <x:c r="E33" s="11" t="n">
        <x:v>0</x:v>
      </x:c>
      <x:c r="F33" s="12" t="str">
        <x:v>NO</x:v>
      </x:c>
      <x:c r="G33" s="12" t="str">
        <x:v>NO</x:v>
      </x:c>
      <x:c r="H33" s="10" t="str">
        <x:v>SIN STOCK</x:v>
      </x:c>
      <x:c r="I33" s="10" t="str">
        <x:v>Sin coincidencia exacta de nombre/formato</x:v>
      </x:c>
    </x:row>
    <x:row r="34" ht="79.19999694824219" hidden="0" customHeight="1">
      <x:c r="A34" s="13" t="str">
        <x:v>C01200</x:v>
      </x:c>
      <x:c r="B34" s="10" t="str">
        <x:v>FRN</x:v>
      </x:c>
      <x:c r="C34" s="10" t="str">
        <x:v>COSTILLA RECORTADA</x:v>
      </x:c>
      <x:c r="D34" s="11" t="n">
        <x:v>331.04</x:v>
      </x:c>
      <x:c r="E34" s="11" t="n">
        <x:v>0</x:v>
      </x:c>
      <x:c r="F34" s="12" t="str">
        <x:v>NO</x:v>
      </x:c>
      <x:c r="G34" s="12" t="str">
        <x:v>SI</x:v>
      </x:c>
      <x:c r="H34" s="10" t="str">
        <x:v>PRECIO PENDIENTE</x:v>
      </x:c>
      <x:c r="I34" s="10" t="str">
        <x:v>Sin coincidencia exacta de nombre/formato</x:v>
      </x:c>
    </x:row>
    <x:row r="35" ht="79.19999694824219" hidden="0" customHeight="1">
      <x:c r="A35" s="13" t="str">
        <x:v>C01300</x:v>
      </x:c>
      <x:c r="B35" s="10" t="str">
        <x:v>TOMASELLO</x:v>
      </x:c>
      <x:c r="C35" s="10" t="str">
        <x:v>BIFE ANGOSTO</x:v>
      </x:c>
      <x:c r="D35" s="11" t="n">
        <x:v>243.05</x:v>
      </x:c>
      <x:c r="E35" s="11" t="n">
        <x:v>0</x:v>
      </x:c>
      <x:c r="F35" s="12" t="str">
        <x:v>NO</x:v>
      </x:c>
      <x:c r="G35" s="12" t="str">
        <x:v>SI</x:v>
      </x:c>
      <x:c r="H35" s="10" t="str">
        <x:v>PRECIO PENDIENTE</x:v>
      </x:c>
      <x:c r="I35" s="10" t="str">
        <x:v>Sin coincidencia exacta de nombre/formato</x:v>
      </x:c>
    </x:row>
  </x:sheetData>
  <x:conditionalFormatting sqref="G2:G35">
    <x:cfRule type="cellIs" dxfId="0" priority="1" operator="equal">
      <x:formula>"SI"</x:formula>
    </x:cfRule>
    <x:cfRule type="cellIs" dxfId="1" priority="2" operator="equal">
      <x:formula>"NO"</x:formula>
    </x:cfRule>
  </x:conditionalFormatting>
  <x:dataValidations count="2">
    <x:dataValidation type="list" sqref="F2:F35">
      <x:formula1>"SI,NO"</x:formula1>
    </x:dataValidation>
    <x:dataValidation type="list" sqref="G2:G35">
      <x:formula1>"SI,NO"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48" hidden="0" customWidth="1"/>
    <x:col min="4" max="4" width="14" hidden="0" customWidth="1"/>
    <x:col min="5" max="5" width="14" hidden="0" customWidth="1"/>
    <x:col min="6" max="6" width="11" hidden="0" customWidth="1"/>
    <x:col min="7" max="7" width="11" hidden="0" customWidth="1"/>
    <x:col min="8" max="8" width="27" hidden="0" customWidth="1"/>
    <x:col min="9" max="9" width="33" hidden="0" customWidth="1"/>
  </x:cols>
  <x:sheetData>
    <x:row r="1" ht="15" hidden="0" customHeight="1">
      <x:c r="A1" s="5" t="str">
        <x:v>Código</x:v>
      </x:c>
      <x:c r="B1" s="5" t="str">
        <x:v>Marca</x:v>
      </x:c>
      <x:c r="C1" s="5" t="str">
        <x:v>Producto</x:v>
      </x:c>
      <x:c r="D1" s="5" t="str">
        <x:v>Stock Kg</x:v>
      </x:c>
      <x:c r="E1" s="5" t="str">
        <x:v>Precio €/Kg</x:v>
      </x:c>
      <x:c r="F1" s="5" t="str">
        <x:v>Oferta</x:v>
      </x:c>
      <x:c r="G1" s="5" t="str">
        <x:v>Publicar</x:v>
      </x:c>
      <x:c r="H1" s="5" t="str">
        <x:v>Estado</x:v>
      </x:c>
      <x:c r="I1" s="5" t="str">
        <x:v>Fuente</x:v>
      </x:c>
    </x:row>
    <x:row r="2" ht="79.19999694824219" hidden="0" customHeight="1">
      <x:c r="A2" s="13" t="str">
        <x:v>P00001</x:v>
      </x:c>
      <x:c r="B2" s="10" t="str">
        <x:v>FRN</x:v>
      </x:c>
      <x:c r="C2" s="10" t="str">
        <x:v>ALETA POTON 1000+ 20K</x:v>
      </x:c>
      <x:c r="D2" s="11" t="n">
        <x:v>3320</x:v>
      </x:c>
      <x:c r="E2" s="11" t="n">
        <x:v>0</x:v>
      </x:c>
      <x:c r="F2" s="12" t="str">
        <x:v>NO</x:v>
      </x:c>
      <x:c r="G2" s="12" t="str">
        <x:v>SI</x:v>
      </x:c>
      <x:c r="H2" s="10" t="str">
        <x:v>PRECIO PENDIENTE</x:v>
      </x:c>
      <x:c r="I2" s="10" t="str">
        <x:v>Sin coincidencia exacta de nombre/formato</x:v>
      </x:c>
    </x:row>
    <x:row r="3" ht="79.19999694824219" hidden="0" customHeight="1">
      <x:c r="A3" s="13" t="str">
        <x:v>P00002</x:v>
      </x:c>
      <x:c r="B3" s="10" t="str">
        <x:v>FRN</x:v>
      </x:c>
      <x:c r="C3" s="10" t="str">
        <x:v>ALETA POTON 500/1000 20K</x:v>
      </x:c>
      <x:c r="D3" s="11" t="n">
        <x:v>7740</x:v>
      </x:c>
      <x:c r="E3" s="11" t="n">
        <x:v>0</x:v>
      </x:c>
      <x:c r="F3" s="12" t="str">
        <x:v>NO</x:v>
      </x:c>
      <x:c r="G3" s="12" t="str">
        <x:v>SI</x:v>
      </x:c>
      <x:c r="H3" s="10" t="str">
        <x:v>PRECIO PENDIENTE</x:v>
      </x:c>
      <x:c r="I3" s="10" t="str">
        <x:v>Sin coincidencia exacta de nombre/formato</x:v>
      </x:c>
    </x:row>
    <x:row r="4" ht="79.19999694824219" hidden="0" customHeight="1">
      <x:c r="A4" s="13" t="str">
        <x:v>P00020</x:v>
      </x:c>
      <x:c r="B4" s="10" t="str">
        <x:v>FRN</x:v>
      </x:c>
      <x:c r="C4" s="10" t="str">
        <x:v>MANTO POTON 1-2 20K</x:v>
      </x:c>
      <x:c r="D4" s="11" t="n">
        <x:v>1200</x:v>
      </x:c>
      <x:c r="E4" s="11" t="n">
        <x:v>0</x:v>
      </x:c>
      <x:c r="F4" s="12" t="str">
        <x:v>NO</x:v>
      </x:c>
      <x:c r="G4" s="12" t="str">
        <x:v>SI</x:v>
      </x:c>
      <x:c r="H4" s="10" t="str">
        <x:v>PRECIO PENDIENTE</x:v>
      </x:c>
      <x:c r="I4" s="10" t="str">
        <x:v>Sin coincidencia exacta de nombre/formato</x:v>
      </x:c>
    </x:row>
    <x:row r="5" ht="79.19999694824219" hidden="0" customHeight="1">
      <x:c r="A5" s="13" t="str">
        <x:v>P00021</x:v>
      </x:c>
      <x:c r="B5" s="10" t="str">
        <x:v>FRN</x:v>
      </x:c>
      <x:c r="C5" s="10" t="str">
        <x:v>MANTO POTON 2-4 20K</x:v>
      </x:c>
      <x:c r="D5" s="11" t="n">
        <x:v>2380</x:v>
      </x:c>
      <x:c r="E5" s="11" t="n">
        <x:v>0</x:v>
      </x:c>
      <x:c r="F5" s="12" t="str">
        <x:v>NO</x:v>
      </x:c>
      <x:c r="G5" s="12" t="str">
        <x:v>SI</x:v>
      </x:c>
      <x:c r="H5" s="10" t="str">
        <x:v>PRECIO PENDIENTE</x:v>
      </x:c>
      <x:c r="I5" s="10" t="str">
        <x:v>Sin coincidencia exacta de nombre/formato</x:v>
      </x:c>
    </x:row>
    <x:row r="6" ht="52.79999923706055" hidden="0" customHeight="1">
      <x:c r="A6" s="13" t="str">
        <x:v>P00100</x:v>
      </x:c>
      <x:c r="B6" s="10" t="str">
        <x:v>FRN</x:v>
      </x:c>
      <x:c r="C6" s="10" t="str">
        <x:v>BOGAVANTE AZUL 400/600 C/5 KGS</x:v>
      </x:c>
      <x:c r="D6" s="11" t="n">
        <x:v>40</x:v>
      </x:c>
      <x:c r="E6" s="11" t="n">
        <x:v>26.5</x:v>
      </x:c>
      <x:c r="F6" s="12" t="str">
        <x:v>NO</x:v>
      </x:c>
      <x:c r="G6" s="12" t="str">
        <x:v>SI</x:v>
      </x:c>
      <x:c r="H6" s="10" t="str">
        <x:v>OK</x:v>
      </x:c>
      <x:c r="I6" s="10" t="str">
        <x:v>Lista junio-julio 2026</x:v>
      </x:c>
    </x:row>
    <x:row r="7" ht="39.599998474121094" hidden="0" customHeight="1">
      <x:c r="A7" s="13" t="str">
        <x:v>P00200</x:v>
      </x:c>
      <x:c r="B7" s="10" t="str">
        <x:v>FRN</x:v>
      </x:c>
      <x:c r="C7" s="10" t="str">
        <x:v>CABEZA PULPO COCIDA</x:v>
      </x:c>
      <x:c r="D7" s="11" t="n">
        <x:v>121.4</x:v>
      </x:c>
      <x:c r="E7" s="11" t="n">
        <x:v>2.95</x:v>
      </x:c>
      <x:c r="F7" s="12" t="str">
        <x:v>NO</x:v>
      </x:c>
      <x:c r="G7" s="12" t="str">
        <x:v>SI</x:v>
      </x:c>
      <x:c r="H7" s="10" t="str">
        <x:v>OK</x:v>
      </x:c>
      <x:c r="I7" s="10" t="str">
        <x:v>Lista junio-julio 2026</x:v>
      </x:c>
    </x:row>
    <x:row r="8" ht="52.79999923706055" hidden="0" customHeight="1">
      <x:c r="A8" s="13" t="str">
        <x:v>P00250</x:v>
      </x:c>
      <x:c r="B8" s="10" t="str">
        <x:v>FRN</x:v>
      </x:c>
      <x:c r="C8" s="10" t="str">
        <x:v>PATA PULPO COCIDA 100/150</x:v>
      </x:c>
      <x:c r="D8" s="11" t="n">
        <x:v>97.1</x:v>
      </x:c>
      <x:c r="E8" s="11" t="n">
        <x:v>32.95</x:v>
      </x:c>
      <x:c r="F8" s="12" t="str">
        <x:v>NO</x:v>
      </x:c>
      <x:c r="G8" s="12" t="str">
        <x:v>SI</x:v>
      </x:c>
      <x:c r="H8" s="10" t="str">
        <x:v>OK</x:v>
      </x:c>
      <x:c r="I8" s="10" t="str">
        <x:v>Lista junio-julio 2026</x:v>
      </x:c>
    </x:row>
    <x:row r="9" ht="52.79999923706055" hidden="0" customHeight="1">
      <x:c r="A9" s="13" t="str">
        <x:v>P00252</x:v>
      </x:c>
      <x:c r="B9" s="10" t="str">
        <x:v>FRN</x:v>
      </x:c>
      <x:c r="C9" s="10" t="str">
        <x:v>PATA PULPO COCIDA 150/200</x:v>
      </x:c>
      <x:c r="D9" s="11" t="n">
        <x:v>201.1</x:v>
      </x:c>
      <x:c r="E9" s="11" t="n">
        <x:v>32.45</x:v>
      </x:c>
      <x:c r="F9" s="12" t="str">
        <x:v>NO</x:v>
      </x:c>
      <x:c r="G9" s="12" t="str">
        <x:v>SI</x:v>
      </x:c>
      <x:c r="H9" s="10" t="str">
        <x:v>OK</x:v>
      </x:c>
      <x:c r="I9" s="10" t="str">
        <x:v>Lista junio-julio 2026</x:v>
      </x:c>
    </x:row>
    <x:row r="10" ht="52.79999923706055" hidden="0" customHeight="1">
      <x:c r="A10" s="13" t="str">
        <x:v>P00253</x:v>
      </x:c>
      <x:c r="B10" s="10" t="str">
        <x:v>FRN</x:v>
      </x:c>
      <x:c r="C10" s="10" t="str">
        <x:v>PATA PULPO COCIDA 200/300</x:v>
      </x:c>
      <x:c r="D10" s="11" t="n">
        <x:v>402.5</x:v>
      </x:c>
      <x:c r="E10" s="11" t="n">
        <x:v>31.45</x:v>
      </x:c>
      <x:c r="F10" s="12" t="str">
        <x:v>NO</x:v>
      </x:c>
      <x:c r="G10" s="12" t="str">
        <x:v>SI</x:v>
      </x:c>
      <x:c r="H10" s="10" t="str">
        <x:v>OK</x:v>
      </x:c>
      <x:c r="I10" s="10" t="str">
        <x:v>Lista junio-julio 2026</x:v>
      </x:c>
    </x:row>
    <x:row r="11" ht="52.79999923706055" hidden="0" customHeight="1">
      <x:c r="A11" s="13" t="str">
        <x:v>P00254</x:v>
      </x:c>
      <x:c r="B11" s="10" t="str">
        <x:v>FRN</x:v>
      </x:c>
      <x:c r="C11" s="10" t="str">
        <x:v>PATA PULPO COCIDA +300</x:v>
      </x:c>
      <x:c r="D11" s="11" t="n">
        <x:v>295.86</x:v>
      </x:c>
      <x:c r="E11" s="11" t="n">
        <x:v>33.45</x:v>
      </x:c>
      <x:c r="F11" s="12" t="str">
        <x:v>NO</x:v>
      </x:c>
      <x:c r="G11" s="12" t="str">
        <x:v>SI</x:v>
      </x:c>
      <x:c r="H11" s="10" t="str">
        <x:v>OK</x:v>
      </x:c>
      <x:c r="I11" s="10" t="str">
        <x:v>Lista junio-julio 2026</x:v>
      </x:c>
    </x:row>
    <x:row r="12" ht="79.19999694824219" hidden="0" customHeight="1">
      <x:c r="A12" s="13" t="str">
        <x:v>P00270</x:v>
      </x:c>
      <x:c r="B12" s="10" t="str">
        <x:v>FRN</x:v>
      </x:c>
      <x:c r="C12" s="10" t="str">
        <x:v>PULPO ENTERO COCIDO 800/1500</x:v>
      </x:c>
      <x:c r="D12" s="11" t="n">
        <x:v>352</x:v>
      </x:c>
      <x:c r="E12" s="11" t="n">
        <x:v>0</x:v>
      </x:c>
      <x:c r="F12" s="12" t="str">
        <x:v>NO</x:v>
      </x:c>
      <x:c r="G12" s="12" t="str">
        <x:v>SI</x:v>
      </x:c>
      <x:c r="H12" s="10" t="str">
        <x:v>PRECIO PENDIENTE</x:v>
      </x:c>
      <x:c r="I12" s="10" t="str">
        <x:v>Sin coincidencia exacta de nombre/formato</x:v>
      </x:c>
    </x:row>
    <x:row r="13" ht="66" hidden="0" customHeight="1">
      <x:c r="A13" s="13" t="str">
        <x:v>P00305</x:v>
      </x:c>
      <x:c r="B13" s="10" t="str">
        <x:v>CABO VIRGENES</x:v>
      </x:c>
      <x:c r="C13" s="10" t="str">
        <x:v>GAMBON ENTERO L2 20-30 CV FACTORIA</x:v>
      </x:c>
      <x:c r="D13" s="11" t="n">
        <x:v>3468</x:v>
      </x:c>
      <x:c r="E13" s="11" t="n">
        <x:v>7.9</x:v>
      </x:c>
      <x:c r="F13" s="12" t="str">
        <x:v>NO</x:v>
      </x:c>
      <x:c r="G13" s="12" t="str">
        <x:v>SI</x:v>
      </x:c>
      <x:c r="H13" s="10" t="str">
        <x:v>OK</x:v>
      </x:c>
      <x:c r="I13" s="10" t="str">
        <x:v>Lista junio-julio 2026</x:v>
      </x:c>
    </x:row>
    <x:row r="14" ht="79.19999694824219" hidden="0" customHeight="1">
      <x:c r="A14" s="13" t="str">
        <x:v>P00306</x:v>
      </x:c>
      <x:c r="B14" s="10" t="str">
        <x:v>NAUTIS</x:v>
      </x:c>
      <x:c r="C14" s="10" t="str">
        <x:v>GAMBON ENTERO L2 20-30 FACTORIA</x:v>
      </x:c>
      <x:c r="D14" s="11" t="n">
        <x:v>3168</x:v>
      </x:c>
      <x:c r="E14" s="11" t="n">
        <x:v>0</x:v>
      </x:c>
      <x:c r="F14" s="12" t="str">
        <x:v>NO</x:v>
      </x:c>
      <x:c r="G14" s="12" t="str">
        <x:v>SI</x:v>
      </x:c>
      <x:c r="H14" s="10" t="str">
        <x:v>PRECIO PENDIENTE</x:v>
      </x:c>
      <x:c r="I14" s="10" t="str">
        <x:v>Sin coincidencia exacta de nombre/formato</x:v>
      </x:c>
    </x:row>
    <x:row r="15" ht="92.4000015258789" hidden="0" customHeight="1">
      <x:c r="A15" s="13" t="str">
        <x:v>P00410</x:v>
      </x:c>
      <x:c r="B15" s="10" t="str">
        <x:v>FRN</x:v>
      </x:c>
      <x:c r="C15" s="10" t="str">
        <x:v>COLA GAMBON PELADA 10/30 4,8KG BOX 6X800</x:v>
      </x:c>
      <x:c r="D15" s="11" t="n">
        <x:v>4.8</x:v>
      </x:c>
      <x:c r="E15" s="11" t="n">
        <x:v>0</x:v>
      </x:c>
      <x:c r="F15" s="12" t="str">
        <x:v>NO</x:v>
      </x:c>
      <x:c r="G15" s="12" t="str">
        <x:v>SI</x:v>
      </x:c>
      <x:c r="H15" s="10" t="str">
        <x:v>PRECIO PENDIENTE</x:v>
      </x:c>
      <x:c r="I15" s="10" t="str">
        <x:v>Sin coincidencia exacta de nombre/formato</x:v>
      </x:c>
    </x:row>
    <x:row r="16" ht="79.19999694824219" hidden="0" customHeight="1">
      <x:c r="A16" s="13" t="str">
        <x:v>P00412</x:v>
      </x:c>
      <x:c r="B16" s="10" t="str">
        <x:v>FRN</x:v>
      </x:c>
      <x:c r="C16" s="10" t="str">
        <x:v>COLA GAMBON PELADA 10/30 9,6KG C/12KG</x:v>
      </x:c>
      <x:c r="D16" s="11" t="n">
        <x:v>4.8</x:v>
      </x:c>
      <x:c r="E16" s="11" t="n">
        <x:v>0</x:v>
      </x:c>
      <x:c r="F16" s="12" t="str">
        <x:v>NO</x:v>
      </x:c>
      <x:c r="G16" s="12" t="str">
        <x:v>SI</x:v>
      </x:c>
      <x:c r="H16" s="10" t="str">
        <x:v>PRECIO PENDIENTE</x:v>
      </x:c>
      <x:c r="I16" s="10" t="str">
        <x:v>Sin coincidencia exacta de nombre/formato</x:v>
      </x:c>
    </x:row>
    <x:row r="17" ht="79.19999694824219" hidden="0" customHeight="1">
      <x:c r="A17" s="13" t="str">
        <x:v>P00414</x:v>
      </x:c>
      <x:c r="B17" s="10" t="str">
        <x:v>FRN</x:v>
      </x:c>
      <x:c r="C17" s="10" t="str">
        <x:v>COLA GAMBON PELADA 10/30 6X1 10%</x:v>
      </x:c>
      <x:c r="D17" s="11" t="n">
        <x:v>852</x:v>
      </x:c>
      <x:c r="E17" s="11" t="n">
        <x:v>0</x:v>
      </x:c>
      <x:c r="F17" s="12" t="str">
        <x:v>NO</x:v>
      </x:c>
      <x:c r="G17" s="12" t="str">
        <x:v>SI</x:v>
      </x:c>
      <x:c r="H17" s="10" t="str">
        <x:v>PRECIO PENDIENTE</x:v>
      </x:c>
      <x:c r="I17" s="10" t="str">
        <x:v>Sin coincidencia exacta de nombre/formato</x:v>
      </x:c>
    </x:row>
    <x:row r="18" ht="52.79999923706055" hidden="0" customHeight="1">
      <x:c r="A18" s="13" t="str">
        <x:v>P00510</x:v>
      </x:c>
      <x:c r="B18" s="10" t="str">
        <x:v>FRN</x:v>
      </x:c>
      <x:c r="C18" s="10" t="str">
        <x:v>VIEIRA 20/30 10X1 OCEANIC</x:v>
      </x:c>
      <x:c r="D18" s="11" t="n">
        <x:v>7150</x:v>
      </x:c>
      <x:c r="E18" s="11" t="n">
        <x:v>11.45</x:v>
      </x:c>
      <x:c r="F18" s="12" t="str">
        <x:v>NO</x:v>
      </x:c>
      <x:c r="G18" s="12" t="str">
        <x:v>SI</x:v>
      </x:c>
      <x:c r="H18" s="10" t="str">
        <x:v>OK</x:v>
      </x:c>
      <x:c r="I18" s="10" t="str">
        <x:v>Lista junio-julio 2026</x:v>
      </x:c>
    </x:row>
    <x:row r="19" ht="39.599998474121094" hidden="0" customHeight="1">
      <x:c r="A19" s="13" t="str">
        <x:v>P00511</x:v>
      </x:c>
      <x:c r="B19" s="10" t="str">
        <x:v>FRN</x:v>
      </x:c>
      <x:c r="C19" s="10" t="str">
        <x:v>VIEIRA 20/30 10X1</x:v>
      </x:c>
      <x:c r="D19" s="11" t="n">
        <x:v>600</x:v>
      </x:c>
      <x:c r="E19" s="11" t="n">
        <x:v>11.45</x:v>
      </x:c>
      <x:c r="F19" s="12" t="str">
        <x:v>NO</x:v>
      </x:c>
      <x:c r="G19" s="12" t="str">
        <x:v>SI</x:v>
      </x:c>
      <x:c r="H19" s="10" t="str">
        <x:v>OK</x:v>
      </x:c>
      <x:c r="I19" s="10" t="str">
        <x:v>Lista junio-julio 2026</x:v>
      </x:c>
    </x:row>
    <x:row r="20" ht="79.19999694824219" hidden="0" customHeight="1">
      <x:c r="A20" s="13" t="str">
        <x:v>P00513</x:v>
      </x:c>
      <x:c r="B20" s="10" t="str">
        <x:v>FRN</x:v>
      </x:c>
      <x:c r="C20" s="10" t="str">
        <x:v>VIEIRA PAC 20/30 10K GRANEL O BOLSA DE KILO</x:v>
      </x:c>
      <x:c r="D20" s="11" t="n">
        <x:v>8402</x:v>
      </x:c>
      <x:c r="E20" s="11" t="n">
        <x:v>0</x:v>
      </x:c>
      <x:c r="F20" s="12" t="str">
        <x:v>NO</x:v>
      </x:c>
      <x:c r="G20" s="12" t="str">
        <x:v>SI</x:v>
      </x:c>
      <x:c r="H20" s="10" t="str">
        <x:v>PRECIO PENDIENTE</x:v>
      </x:c>
      <x:c r="I20" s="10" t="str">
        <x:v>Sin coincidencia exacta de nombre/formato</x:v>
      </x:c>
    </x:row>
    <x:row r="21" ht="79.19999694824219" hidden="0" customHeight="1">
      <x:c r="A21" s="13" t="str">
        <x:v>P00514</x:v>
      </x:c>
      <x:c r="B21" s="10" t="str">
        <x:v>FRN</x:v>
      </x:c>
      <x:c r="C21" s="10" t="str">
        <x:v>VIEIRA 20/30 10X800G</x:v>
      </x:c>
      <x:c r="D21" s="11" t="n">
        <x:v>-560</x:v>
      </x:c>
      <x:c r="E21" s="11" t="n">
        <x:v>0</x:v>
      </x:c>
      <x:c r="F21" s="12" t="str">
        <x:v>NO</x:v>
      </x:c>
      <x:c r="G21" s="12" t="str">
        <x:v>NO</x:v>
      </x:c>
      <x:c r="H21" s="10" t="str">
        <x:v>STOCK NEGATIVO</x:v>
      </x:c>
      <x:c r="I21" s="10" t="str">
        <x:v>Sin coincidencia exacta de nombre/formato</x:v>
      </x:c>
    </x:row>
    <x:row r="22" ht="79.19999694824219" hidden="0" customHeight="1">
      <x:c r="A22" s="13" t="str">
        <x:v>P00515</x:v>
      </x:c>
      <x:c r="B22" s="10" t="str">
        <x:v>FRN</x:v>
      </x:c>
      <x:c r="C22" s="10" t="str">
        <x:v>VIEIRA 20/30 11X1 OCEANIC</x:v>
      </x:c>
      <x:c r="D22" s="11" t="n">
        <x:v>341</x:v>
      </x:c>
      <x:c r="E22" s="11" t="n">
        <x:v>0</x:v>
      </x:c>
      <x:c r="F22" s="12" t="str">
        <x:v>NO</x:v>
      </x:c>
      <x:c r="G22" s="12" t="str">
        <x:v>SI</x:v>
      </x:c>
      <x:c r="H22" s="10" t="str">
        <x:v>PRECIO PENDIENTE</x:v>
      </x:c>
      <x:c r="I22" s="10" t="str">
        <x:v>Sin coincidencia exacta de nombre/formato</x:v>
      </x:c>
    </x:row>
    <x:row r="23" ht="79.19999694824219" hidden="0" customHeight="1">
      <x:c r="A23" s="13" t="str">
        <x:v>P00518</x:v>
      </x:c>
      <x:c r="B23" s="10" t="str">
        <x:v>FRN</x:v>
      </x:c>
      <x:c r="C23" s="10" t="str">
        <x:v>VIEIRA 20/30 OCEANIC MP</x:v>
      </x:c>
      <x:c r="D23" s="11" t="n">
        <x:v>111.5</x:v>
      </x:c>
      <x:c r="E23" s="11" t="n">
        <x:v>0</x:v>
      </x:c>
      <x:c r="F23" s="12" t="str">
        <x:v>NO</x:v>
      </x:c>
      <x:c r="G23" s="12" t="str">
        <x:v>SI</x:v>
      </x:c>
      <x:c r="H23" s="10" t="str">
        <x:v>PRECIO PENDIENTE</x:v>
      </x:c>
      <x:c r="I23" s="10" t="str">
        <x:v>Sin coincidencia exacta de nombre/formato</x:v>
      </x:c>
    </x:row>
    <x:row r="24" ht="79.19999694824219" hidden="0" customHeight="1">
      <x:c r="A24" s="13" t="str">
        <x:v>P00521</x:v>
      </x:c>
      <x:c r="B24" s="10" t="str">
        <x:v>FRN</x:v>
      </x:c>
      <x:c r="C24" s="10" t="str">
        <x:v>VIEIRA 30/40 10X800G</x:v>
      </x:c>
      <x:c r="D24" s="11" t="n">
        <x:v>-560</x:v>
      </x:c>
      <x:c r="E24" s="11" t="n">
        <x:v>0</x:v>
      </x:c>
      <x:c r="F24" s="12" t="str">
        <x:v>NO</x:v>
      </x:c>
      <x:c r="G24" s="12" t="str">
        <x:v>NO</x:v>
      </x:c>
      <x:c r="H24" s="10" t="str">
        <x:v>STOCK NEGATIVO</x:v>
      </x:c>
      <x:c r="I24" s="10" t="str">
        <x:v>Sin coincidencia exacta de nombre/formato</x:v>
      </x:c>
    </x:row>
    <x:row r="25" ht="79.19999694824219" hidden="0" customHeight="1">
      <x:c r="A25" s="13" t="str">
        <x:v>P00522</x:v>
      </x:c>
      <x:c r="B25" s="10" t="str">
        <x:v>FRN</x:v>
      </x:c>
      <x:c r="C25" s="10" t="str">
        <x:v>VIEIRA 30/40 11X1 OCEANIC</x:v>
      </x:c>
      <x:c r="D25" s="11" t="n">
        <x:v>3437</x:v>
      </x:c>
      <x:c r="E25" s="11" t="n">
        <x:v>0</x:v>
      </x:c>
      <x:c r="F25" s="12" t="str">
        <x:v>NO</x:v>
      </x:c>
      <x:c r="G25" s="12" t="str">
        <x:v>SI</x:v>
      </x:c>
      <x:c r="H25" s="10" t="str">
        <x:v>PRECIO PENDIENTE</x:v>
      </x:c>
      <x:c r="I25" s="10" t="str">
        <x:v>Sin coincidencia exacta de nombre/formato</x:v>
      </x:c>
    </x:row>
    <x:row r="26" ht="79.19999694824219" hidden="0" customHeight="1">
      <x:c r="A26" s="13" t="str">
        <x:v>P00524</x:v>
      </x:c>
      <x:c r="B26" s="10" t="str">
        <x:v>FRN</x:v>
      </x:c>
      <x:c r="C26" s="10" t="str">
        <x:v>VIEIRA 30/40 OCEANIC MP</x:v>
      </x:c>
      <x:c r="D26" s="11" t="n">
        <x:v>275.5</x:v>
      </x:c>
      <x:c r="E26" s="11" t="n">
        <x:v>0</x:v>
      </x:c>
      <x:c r="F26" s="12" t="str">
        <x:v>NO</x:v>
      </x:c>
      <x:c r="G26" s="12" t="str">
        <x:v>SI</x:v>
      </x:c>
      <x:c r="H26" s="10" t="str">
        <x:v>PRECIO PENDIENTE</x:v>
      </x:c>
      <x:c r="I26" s="10" t="str">
        <x:v>Sin coincidencia exacta de nombre/formato</x:v>
      </x:c>
    </x:row>
    <x:row r="27" ht="39.599998474121094" hidden="0" customHeight="1">
      <x:c r="A27" s="13" t="str">
        <x:v>P00530</x:v>
      </x:c>
      <x:c r="B27" s="10" t="str">
        <x:v>FRN</x:v>
      </x:c>
      <x:c r="C27" s="10" t="str">
        <x:v>VANNAMEI ENTERO 30/40</x:v>
      </x:c>
      <x:c r="D27" s="11" t="n">
        <x:v>7498</x:v>
      </x:c>
      <x:c r="E27" s="11" t="n">
        <x:v>4.95</x:v>
      </x:c>
      <x:c r="F27" s="12" t="str">
        <x:v>NO</x:v>
      </x:c>
      <x:c r="G27" s="12" t="str">
        <x:v>SI</x:v>
      </x:c>
      <x:c r="H27" s="10" t="str">
        <x:v>OK</x:v>
      </x:c>
      <x:c r="I27" s="10" t="str">
        <x:v>Lista junio-julio 2026</x:v>
      </x:c>
    </x:row>
    <x:row r="28" ht="39.599998474121094" hidden="0" customHeight="1">
      <x:c r="A28" s="13" t="str">
        <x:v>P00531</x:v>
      </x:c>
      <x:c r="B28" s="10" t="str">
        <x:v>FRN</x:v>
      </x:c>
      <x:c r="C28" s="10" t="str">
        <x:v>VANNAMEI ENTERO 40/50</x:v>
      </x:c>
      <x:c r="D28" s="11" t="n">
        <x:v>13696</x:v>
      </x:c>
      <x:c r="E28" s="11" t="n">
        <x:v>4.6</x:v>
      </x:c>
      <x:c r="F28" s="12" t="str">
        <x:v>NO</x:v>
      </x:c>
      <x:c r="G28" s="12" t="str">
        <x:v>SI</x:v>
      </x:c>
      <x:c r="H28" s="10" t="str">
        <x:v>OK</x:v>
      </x:c>
      <x:c r="I28" s="10" t="str">
        <x:v>Lista junio-julio 2026</x:v>
      </x:c>
    </x:row>
    <x:row r="29" ht="79.19999694824219" hidden="0" customHeight="1">
      <x:c r="A29" s="13" t="str">
        <x:v>P00600</x:v>
      </x:c>
      <x:c r="B29" s="10" t="str">
        <x:v>FRN</x:v>
      </x:c>
      <x:c r="C29" s="10" t="str">
        <x:v>PULPO ENTERO 2-3KG FAO27 MP</x:v>
      </x:c>
      <x:c r="D29" s="11" t="n">
        <x:v>11469</x:v>
      </x:c>
      <x:c r="E29" s="11" t="n">
        <x:v>0</x:v>
      </x:c>
      <x:c r="F29" s="12" t="str">
        <x:v>NO</x:v>
      </x:c>
      <x:c r="G29" s="12" t="str">
        <x:v>SI</x:v>
      </x:c>
      <x:c r="H29" s="10" t="str">
        <x:v>PRECIO PENDIENTE</x:v>
      </x:c>
      <x:c r="I29" s="10" t="str">
        <x:v>Sin coincidencia exacta de nombre/formato</x:v>
      </x:c>
    </x:row>
    <x:row r="30" ht="52.79999923706055" hidden="0" customHeight="1">
      <x:c r="A30" s="13" t="str">
        <x:v>P00610</x:v>
      </x:c>
      <x:c r="B30" s="10" t="str">
        <x:v>JAKO</x:v>
      </x:c>
      <x:c r="C30" s="10" t="str">
        <x:v>PULPO ENTERO +1,5 BLOQUE</x:v>
      </x:c>
      <x:c r="D30" s="11" t="n">
        <x:v>35220</x:v>
      </x:c>
      <x:c r="E30" s="11" t="n">
        <x:v>10.5</x:v>
      </x:c>
      <x:c r="F30" s="12" t="str">
        <x:v>NO</x:v>
      </x:c>
      <x:c r="G30" s="12" t="str">
        <x:v>SI</x:v>
      </x:c>
      <x:c r="H30" s="10" t="str">
        <x:v>OK</x:v>
      </x:c>
      <x:c r="I30" s="10" t="str">
        <x:v>Lista junio-julio 2026</x:v>
      </x:c>
    </x:row>
    <x:row r="31" ht="52.79999923706055" hidden="0" customHeight="1">
      <x:c r="A31" s="13" t="str">
        <x:v>P00621</x:v>
      </x:c>
      <x:c r="B31" s="10" t="str">
        <x:v>FRN</x:v>
      </x:c>
      <x:c r="C31" s="10" t="str">
        <x:v>PULPO LIMPIO BLOQUE 1-2 MP</x:v>
      </x:c>
      <x:c r="D31" s="11" t="n">
        <x:v>909.45</x:v>
      </x:c>
      <x:c r="E31" s="11" t="n">
        <x:v>12.25</x:v>
      </x:c>
      <x:c r="F31" s="12" t="str">
        <x:v>NO</x:v>
      </x:c>
      <x:c r="G31" s="12" t="str">
        <x:v>SI</x:v>
      </x:c>
      <x:c r="H31" s="10" t="str">
        <x:v>OK</x:v>
      </x:c>
      <x:c r="I31" s="10" t="str">
        <x:v>Lista junio-julio 2026</x:v>
      </x:c>
    </x:row>
    <x:row r="32" ht="66" hidden="0" customHeight="1">
      <x:c r="A32" s="13" t="str">
        <x:v>P00631</x:v>
      </x:c>
      <x:c r="B32" s="10" t="str">
        <x:v>FRN</x:v>
      </x:c>
      <x:c r="C32" s="10" t="str">
        <x:v>PULPO LIMPIO FAO27 +4KG BOLSA</x:v>
      </x:c>
      <x:c r="D32" s="11" t="n">
        <x:v>1081.3</x:v>
      </x:c>
      <x:c r="E32" s="11" t="n">
        <x:v>12.95</x:v>
      </x:c>
      <x:c r="F32" s="12" t="str">
        <x:v>NO</x:v>
      </x:c>
      <x:c r="G32" s="12" t="str">
        <x:v>SI</x:v>
      </x:c>
      <x:c r="H32" s="10" t="str">
        <x:v>OK</x:v>
      </x:c>
      <x:c r="I32" s="10" t="str">
        <x:v>Lista junio-julio 2026</x:v>
      </x:c>
    </x:row>
    <x:row r="33" ht="52.79999923706055" hidden="0" customHeight="1">
      <x:c r="A33" s="13" t="str">
        <x:v>P00640</x:v>
      </x:c>
      <x:c r="B33" s="10" t="str">
        <x:v>FRN</x:v>
      </x:c>
      <x:c r="C33" s="10" t="str">
        <x:v>PULPO SIN CABEZA 4-5 T1</x:v>
      </x:c>
      <x:c r="D33" s="11" t="n">
        <x:v>181.7</x:v>
      </x:c>
      <x:c r="E33" s="11" t="n">
        <x:v>16.5</x:v>
      </x:c>
      <x:c r="F33" s="12" t="str">
        <x:v>NO</x:v>
      </x:c>
      <x:c r="G33" s="12" t="str">
        <x:v>SI</x:v>
      </x:c>
      <x:c r="H33" s="10" t="str">
        <x:v>OK</x:v>
      </x:c>
      <x:c r="I33" s="10" t="str">
        <x:v>Lista junio-julio 2026</x:v>
      </x:c>
    </x:row>
    <x:row r="34" ht="52.79999923706055" hidden="0" customHeight="1">
      <x:c r="A34" s="13" t="str">
        <x:v>P00641</x:v>
      </x:c>
      <x:c r="B34" s="10" t="str">
        <x:v>FRN</x:v>
      </x:c>
      <x:c r="C34" s="10" t="str">
        <x:v>PULPO SIN CABEZA 3-4 T2</x:v>
      </x:c>
      <x:c r="D34" s="11" t="n">
        <x:v>516.4</x:v>
      </x:c>
      <x:c r="E34" s="11" t="n">
        <x:v>15.95</x:v>
      </x:c>
      <x:c r="F34" s="12" t="str">
        <x:v>NO</x:v>
      </x:c>
      <x:c r="G34" s="12" t="str">
        <x:v>SI</x:v>
      </x:c>
      <x:c r="H34" s="10" t="str">
        <x:v>OK</x:v>
      </x:c>
      <x:c r="I34" s="10" t="str">
        <x:v>Lista junio-julio 2026</x:v>
      </x:c>
    </x:row>
    <x:row r="35" ht="52.79999923706055" hidden="0" customHeight="1">
      <x:c r="A35" s="13" t="str">
        <x:v>P00642</x:v>
      </x:c>
      <x:c r="B35" s="10" t="str">
        <x:v>FRN</x:v>
      </x:c>
      <x:c r="C35" s="10" t="str">
        <x:v>PULPO SIN CABEZA 2-3 T3</x:v>
      </x:c>
      <x:c r="D35" s="11" t="n">
        <x:v>632.7</x:v>
      </x:c>
      <x:c r="E35" s="11" t="n">
        <x:v>15.75</x:v>
      </x:c>
      <x:c r="F35" s="12" t="str">
        <x:v>NO</x:v>
      </x:c>
      <x:c r="G35" s="12" t="str">
        <x:v>SI</x:v>
      </x:c>
      <x:c r="H35" s="10" t="str">
        <x:v>OK</x:v>
      </x:c>
      <x:c r="I35" s="10" t="str">
        <x:v>Lista junio-julio 2026</x:v>
      </x:c>
    </x:row>
    <x:row r="36" ht="52.79999923706055" hidden="0" customHeight="1">
      <x:c r="A36" s="13" t="str">
        <x:v>P00643</x:v>
      </x:c>
      <x:c r="B36" s="10" t="str">
        <x:v>FRN</x:v>
      </x:c>
      <x:c r="C36" s="10" t="str">
        <x:v>PULPO SIN CABEZA 1,5-2 T4</x:v>
      </x:c>
      <x:c r="D36" s="11" t="n">
        <x:v>390.3</x:v>
      </x:c>
      <x:c r="E36" s="11" t="n">
        <x:v>14.75</x:v>
      </x:c>
      <x:c r="F36" s="12" t="str">
        <x:v>NO</x:v>
      </x:c>
      <x:c r="G36" s="12" t="str">
        <x:v>SI</x:v>
      </x:c>
      <x:c r="H36" s="10" t="str">
        <x:v>OK</x:v>
      </x:c>
      <x:c r="I36" s="10" t="str">
        <x:v>Lista junio-julio 2026</x:v>
      </x:c>
    </x:row>
    <x:row r="37" ht="52.79999923706055" hidden="0" customHeight="1">
      <x:c r="A37" s="13" t="str">
        <x:v>P00644</x:v>
      </x:c>
      <x:c r="B37" s="10" t="str">
        <x:v>FRN</x:v>
      </x:c>
      <x:c r="C37" s="10" t="str">
        <x:v>PULPO SIN CABEZA 1,2-1,5 T5</x:v>
      </x:c>
      <x:c r="D37" s="11" t="n">
        <x:v>65.2</x:v>
      </x:c>
      <x:c r="E37" s="11" t="n">
        <x:v>13.95</x:v>
      </x:c>
      <x:c r="F37" s="12" t="str">
        <x:v>NO</x:v>
      </x:c>
      <x:c r="G37" s="12" t="str">
        <x:v>SI</x:v>
      </x:c>
      <x:c r="H37" s="10" t="str">
        <x:v>OK</x:v>
      </x:c>
      <x:c r="I37" s="10" t="str">
        <x:v>Lista junio-julio 2026</x:v>
      </x:c>
    </x:row>
    <x:row r="38" ht="52.79999923706055" hidden="0" customHeight="1">
      <x:c r="A38" s="13" t="str">
        <x:v>P00645</x:v>
      </x:c>
      <x:c r="B38" s="10" t="str">
        <x:v>FRN</x:v>
      </x:c>
      <x:c r="C38" s="10" t="str">
        <x:v>PULPO SIN CABEZA 0,8-1,2 T6</x:v>
      </x:c>
      <x:c r="D38" s="11" t="n">
        <x:v>10.7</x:v>
      </x:c>
      <x:c r="E38" s="11" t="n">
        <x:v>13.5</x:v>
      </x:c>
      <x:c r="F38" s="12" t="str">
        <x:v>NO</x:v>
      </x:c>
      <x:c r="G38" s="12" t="str">
        <x:v>SI</x:v>
      </x:c>
      <x:c r="H38" s="10" t="str">
        <x:v>OK</x:v>
      </x:c>
      <x:c r="I38" s="10" t="str">
        <x:v>Lista junio-julio 2026</x:v>
      </x:c>
    </x:row>
    <x:row r="39" ht="79.19999694824219" hidden="0" customHeight="1">
      <x:c r="A39" s="13" t="str">
        <x:v>P00660</x:v>
      </x:c>
      <x:c r="B39" s="10" t="str">
        <x:v>FRN</x:v>
      </x:c>
      <x:c r="C39" s="10" t="str">
        <x:v>PULPO T0 VIRGEN LIMPIO +5K</x:v>
      </x:c>
      <x:c r="D39" s="11" t="n">
        <x:v>3247.294</x:v>
      </x:c>
      <x:c r="E39" s="11" t="n">
        <x:v>0</x:v>
      </x:c>
      <x:c r="F39" s="12" t="str">
        <x:v>NO</x:v>
      </x:c>
      <x:c r="G39" s="12" t="str">
        <x:v>SI</x:v>
      </x:c>
      <x:c r="H39" s="10" t="str">
        <x:v>PRECIO PENDIENTE</x:v>
      </x:c>
      <x:c r="I39" s="10" t="str">
        <x:v>Sin coincidencia exacta de nombre/formato</x:v>
      </x:c>
    </x:row>
    <x:row r="40" ht="52.79999923706055" hidden="0" customHeight="1">
      <x:c r="A40" s="13" t="str">
        <x:v>P00661</x:v>
      </x:c>
      <x:c r="B40" s="10" t="str">
        <x:v>FRN</x:v>
      </x:c>
      <x:c r="C40" s="10" t="str">
        <x:v>PULPO T1 VIRGEN LIMPIO 4-5K</x:v>
      </x:c>
      <x:c r="D40" s="11" t="n">
        <x:v>2559.772</x:v>
      </x:c>
      <x:c r="E40" s="11" t="n">
        <x:v>13.5</x:v>
      </x:c>
      <x:c r="F40" s="12" t="str">
        <x:v>NO</x:v>
      </x:c>
      <x:c r="G40" s="12" t="str">
        <x:v>SI</x:v>
      </x:c>
      <x:c r="H40" s="10" t="str">
        <x:v>OK</x:v>
      </x:c>
      <x:c r="I40" s="10" t="str">
        <x:v>Lista junio-julio 2026</x:v>
      </x:c>
    </x:row>
    <x:row r="41" ht="52.79999923706055" hidden="0" customHeight="1">
      <x:c r="A41" s="13" t="str">
        <x:v>P00662</x:v>
      </x:c>
      <x:c r="B41" s="10" t="str">
        <x:v>FRN</x:v>
      </x:c>
      <x:c r="C41" s="10" t="str">
        <x:v>PULPO T2 VIRGEN LIMPIO 3-4K</x:v>
      </x:c>
      <x:c r="D41" s="11" t="n">
        <x:v>4121.941</x:v>
      </x:c>
      <x:c r="E41" s="11" t="n">
        <x:v>13.25</x:v>
      </x:c>
      <x:c r="F41" s="12" t="str">
        <x:v>NO</x:v>
      </x:c>
      <x:c r="G41" s="12" t="str">
        <x:v>SI</x:v>
      </x:c>
      <x:c r="H41" s="10" t="str">
        <x:v>OK</x:v>
      </x:c>
      <x:c r="I41" s="10" t="str">
        <x:v>Lista junio-julio 2026</x:v>
      </x:c>
    </x:row>
    <x:row r="42" ht="52.79999923706055" hidden="0" customHeight="1">
      <x:c r="A42" s="13" t="str">
        <x:v>P00663</x:v>
      </x:c>
      <x:c r="B42" s="10" t="str">
        <x:v>FRN</x:v>
      </x:c>
      <x:c r="C42" s="10" t="str">
        <x:v>PULPO T3 VIRGEN LIMPIO 2-3K</x:v>
      </x:c>
      <x:c r="D42" s="11" t="n">
        <x:v>19273.334</x:v>
      </x:c>
      <x:c r="E42" s="11" t="n">
        <x:v>12.95</x:v>
      </x:c>
      <x:c r="F42" s="12" t="str">
        <x:v>NO</x:v>
      </x:c>
      <x:c r="G42" s="12" t="str">
        <x:v>SI</x:v>
      </x:c>
      <x:c r="H42" s="10" t="str">
        <x:v>OK</x:v>
      </x:c>
      <x:c r="I42" s="10" t="str">
        <x:v>Lista junio-julio 2026</x:v>
      </x:c>
    </x:row>
    <x:row r="43" ht="52.79999923706055" hidden="0" customHeight="1">
      <x:c r="A43" s="13" t="str">
        <x:v>P00664</x:v>
      </x:c>
      <x:c r="B43" s="10" t="str">
        <x:v>FRN</x:v>
      </x:c>
      <x:c r="C43" s="10" t="str">
        <x:v>PULPO T4 VIRGEN LIMPIO 1,5-2K</x:v>
      </x:c>
      <x:c r="D43" s="11" t="n">
        <x:v>3092.943</x:v>
      </x:c>
      <x:c r="E43" s="11" t="n">
        <x:v>12.5</x:v>
      </x:c>
      <x:c r="F43" s="12" t="str">
        <x:v>NO</x:v>
      </x:c>
      <x:c r="G43" s="12" t="str">
        <x:v>SI</x:v>
      </x:c>
      <x:c r="H43" s="10" t="str">
        <x:v>OK</x:v>
      </x:c>
      <x:c r="I43" s="10" t="str">
        <x:v>Lista junio-julio 2026</x:v>
      </x:c>
    </x:row>
    <x:row r="44" ht="79.19999694824219" hidden="0" customHeight="1">
      <x:c r="A44" s="13" t="str">
        <x:v>P00665</x:v>
      </x:c>
      <x:c r="B44" s="10" t="str">
        <x:v>FRN</x:v>
      </x:c>
      <x:c r="C44" s="10" t="str">
        <x:v>PULPO T5 VIRGEN LIMPIO 1,2-1,5K</x:v>
      </x:c>
      <x:c r="D44" s="11" t="n">
        <x:v>92.544</x:v>
      </x:c>
      <x:c r="E44" s="11" t="n">
        <x:v>0</x:v>
      </x:c>
      <x:c r="F44" s="12" t="str">
        <x:v>NO</x:v>
      </x:c>
      <x:c r="G44" s="12" t="str">
        <x:v>SI</x:v>
      </x:c>
      <x:c r="H44" s="10" t="str">
        <x:v>PRECIO PENDIENTE</x:v>
      </x:c>
      <x:c r="I44" s="10" t="str">
        <x:v>Sin coincidencia exacta de nombre/formato</x:v>
      </x:c>
    </x:row>
    <x:row r="45" ht="79.19999694824219" hidden="0" customHeight="1">
      <x:c r="A45" s="13" t="str">
        <x:v>P00666</x:v>
      </x:c>
      <x:c r="B45" s="10" t="str">
        <x:v>FRN</x:v>
      </x:c>
      <x:c r="C45" s="10" t="str">
        <x:v>PULPO T6 VIRGEN LIMPIO 0,8-1,2K</x:v>
      </x:c>
      <x:c r="D45" s="11" t="n">
        <x:v>47.432</x:v>
      </x:c>
      <x:c r="E45" s="11" t="n">
        <x:v>0</x:v>
      </x:c>
      <x:c r="F45" s="12" t="str">
        <x:v>NO</x:v>
      </x:c>
      <x:c r="G45" s="12" t="str">
        <x:v>SI</x:v>
      </x:c>
      <x:c r="H45" s="10" t="str">
        <x:v>PRECIO PENDIENTE</x:v>
      </x:c>
      <x:c r="I45" s="10" t="str">
        <x:v>Sin coincidencia exacta de nombre/formato</x:v>
      </x:c>
    </x:row>
    <x:row r="46" ht="79.19999694824219" hidden="0" customHeight="1">
      <x:c r="A46" s="13" t="str">
        <x:v>P00680</x:v>
      </x:c>
      <x:c r="B46" s="10" t="str">
        <x:v>FRN</x:v>
      </x:c>
      <x:c r="C46" s="10" t="str">
        <x:v>PULPO T1 BLOQUE SENEGAL 4-5 KG</x:v>
      </x:c>
      <x:c r="D46" s="11" t="n">
        <x:v>2135.4</x:v>
      </x:c>
      <x:c r="E46" s="11" t="n">
        <x:v>0</x:v>
      </x:c>
      <x:c r="F46" s="12" t="str">
        <x:v>NO</x:v>
      </x:c>
      <x:c r="G46" s="12" t="str">
        <x:v>SI</x:v>
      </x:c>
      <x:c r="H46" s="10" t="str">
        <x:v>PRECIO PENDIENTE</x:v>
      </x:c>
      <x:c r="I46" s="10" t="str">
        <x:v>Sin coincidencia exacta de nombre/formato</x:v>
      </x:c>
    </x:row>
    <x:row r="47" ht="52.79999923706055" hidden="0" customHeight="1">
      <x:c r="A47" s="13" t="str">
        <x:v>P00811</x:v>
      </x:c>
      <x:c r="B47" s="10" t="str">
        <x:v>FRN</x:v>
      </x:c>
      <x:c r="C47" s="10" t="str">
        <x:v>CHOCO LIMPIO 400-600 C/10K</x:v>
      </x:c>
      <x:c r="D47" s="11" t="n">
        <x:v>1200</x:v>
      </x:c>
      <x:c r="E47" s="11" t="n">
        <x:v>8.95</x:v>
      </x:c>
      <x:c r="F47" s="12" t="str">
        <x:v>NO</x:v>
      </x:c>
      <x:c r="G47" s="12" t="str">
        <x:v>SI</x:v>
      </x:c>
      <x:c r="H47" s="10" t="str">
        <x:v>OK</x:v>
      </x:c>
      <x:c r="I47" s="10" t="str">
        <x:v>Lista junio-julio 2026</x:v>
      </x:c>
    </x:row>
  </x:sheetData>
  <x:conditionalFormatting sqref="G2:G47">
    <x:cfRule type="cellIs" dxfId="2" priority="1" operator="equal">
      <x:formula>"SI"</x:formula>
    </x:cfRule>
    <x:cfRule type="cellIs" dxfId="3" priority="2" operator="equal">
      <x:formula>"NO"</x:formula>
    </x:cfRule>
  </x:conditionalFormatting>
  <x:dataValidations count="2">
    <x:dataValidation type="list" sqref="F2:F47">
      <x:formula1>"SI,NO"</x:formula1>
    </x:dataValidation>
    <x:dataValidation type="list" sqref="G2:G47">
      <x:formula1>"SI,NO"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3" hidden="0" customWidth="1"/>
    <x:col min="3" max="3" width="18" hidden="0" customWidth="1"/>
    <x:col min="4" max="4" width="48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  <x:col min="9" max="9" width="28" hidden="0" customWidth="1"/>
    <x:col min="10" max="10" width="35" hidden="0" customWidth="1"/>
  </x:cols>
  <x:sheetData>
    <x:row r="1" ht="15" hidden="0" customHeight="1">
      <x:c r="A1" s="35" t="str">
        <x:v>Categoría</x:v>
      </x:c>
      <x:c r="B1" s="35" t="str">
        <x:v>Código</x:v>
      </x:c>
      <x:c r="C1" s="35" t="str">
        <x:v>Marca</x:v>
      </x:c>
      <x:c r="D1" s="35" t="str">
        <x:v>Producto</x:v>
      </x:c>
      <x:c r="E1" s="35" t="str">
        <x:v>Stock Kg</x:v>
      </x:c>
      <x:c r="F1" s="35" t="str">
        <x:v>Precio €/Kg</x:v>
      </x:c>
      <x:c r="G1" s="35" t="str">
        <x:v>Oferta</x:v>
      </x:c>
      <x:c r="H1" s="35" t="str">
        <x:v>Publicar</x:v>
      </x:c>
      <x:c r="I1" s="35" t="str">
        <x:v>Estado</x:v>
      </x:c>
      <x:c r="J1" s="35" t="str">
        <x:v>Fuente</x:v>
      </x:c>
    </x:row>
    <x:row r="2" ht="39.599998474121094" hidden="0" customHeight="1">
      <x:c r="A2" s="40" t="str">
        <x:v>Carne</x:v>
      </x:c>
      <x:c r="B2" s="40" t="str">
        <x:v>C00010</x:v>
      </x:c>
      <x:c r="C2" s="40" t="str">
        <x:v>MUGE</x:v>
      </x:c>
      <x:c r="D2" s="40" t="str">
        <x:v>COLITA DE CUADRIL</x:v>
      </x:c>
      <x:c r="E2" s="41" t="n">
        <x:v>0</x:v>
      </x:c>
      <x:c r="F2" s="41" t="n">
        <x:v>13.9</x:v>
      </x:c>
      <x:c r="G2" s="40" t="str">
        <x:v>NO</x:v>
      </x:c>
      <x:c r="H2" s="40" t="str">
        <x:v>NO</x:v>
      </x:c>
      <x:c r="I2" s="40" t="str">
        <x:v>SIN STOCK</x:v>
      </x:c>
      <x:c r="J2" s="40" t="str">
        <x:v>Lista junio-julio 2026</x:v>
      </x:c>
    </x:row>
    <x:row r="3" ht="79.19999694824219" hidden="0" customHeight="1">
      <x:c r="A3" s="40" t="str">
        <x:v>Carne</x:v>
      </x:c>
      <x:c r="B3" s="40" t="str">
        <x:v>C00014</x:v>
      </x:c>
      <x:c r="C3" s="40" t="str">
        <x:v>MUGE</x:v>
      </x:c>
      <x:c r="D3" s="40" t="str">
        <x:v>FALDA PORCIONADA</x:v>
      </x:c>
      <x:c r="E3" s="41" t="n">
        <x:v>0</x:v>
      </x:c>
      <x:c r="F3" s="41" t="n">
        <x:v>0</x:v>
      </x:c>
      <x:c r="G3" s="40" t="str">
        <x:v>NO</x:v>
      </x:c>
      <x:c r="H3" s="40" t="str">
        <x:v>NO</x:v>
      </x:c>
      <x:c r="I3" s="40" t="str">
        <x:v>SIN STOCK</x:v>
      </x:c>
      <x:c r="J3" s="40" t="str">
        <x:v>Sin coincidencia exacta de nombre/formato</x:v>
      </x:c>
    </x:row>
    <x:row r="4" ht="39.599998474121094" hidden="0" customHeight="1">
      <x:c r="A4" s="40" t="str">
        <x:v>Carne</x:v>
      </x:c>
      <x:c r="B4" s="40" t="str">
        <x:v>C00015</x:v>
      </x:c>
      <x:c r="C4" s="40" t="str">
        <x:v>MUGE</x:v>
      </x:c>
      <x:c r="D4" s="40" t="str">
        <x:v>FALDA SIN HUESO</x:v>
      </x:c>
      <x:c r="E4" s="41" t="n">
        <x:v>0</x:v>
      </x:c>
      <x:c r="F4" s="41" t="n">
        <x:v>6.91</x:v>
      </x:c>
      <x:c r="G4" s="40" t="str">
        <x:v>NO</x:v>
      </x:c>
      <x:c r="H4" s="40" t="str">
        <x:v>NO</x:v>
      </x:c>
      <x:c r="I4" s="40" t="str">
        <x:v>SIN STOCK</x:v>
      </x:c>
      <x:c r="J4" s="40" t="str">
        <x:v>Lista junio-julio 2026</x:v>
      </x:c>
    </x:row>
    <x:row r="5" ht="79.19999694824219" hidden="0" customHeight="1">
      <x:c r="A5" s="40" t="str">
        <x:v>Carne</x:v>
      </x:c>
      <x:c r="B5" s="40" t="str">
        <x:v>C00016</x:v>
      </x:c>
      <x:c r="C5" s="40" t="str">
        <x:v>MUGE</x:v>
      </x:c>
      <x:c r="D5" s="40" t="str">
        <x:v>HAMBURGUESA BLACK ANGUS 180G</x:v>
      </x:c>
      <x:c r="E5" s="41" t="n">
        <x:v>506.16</x:v>
      </x:c>
      <x:c r="F5" s="41" t="n">
        <x:v>0</x:v>
      </x:c>
      <x:c r="G5" s="40" t="str">
        <x:v>NO</x:v>
      </x:c>
      <x:c r="H5" s="40" t="str">
        <x:v>SI</x:v>
      </x:c>
      <x:c r="I5" s="40" t="str">
        <x:v>PRECIO PENDIENTE</x:v>
      </x:c>
      <x:c r="J5" s="40" t="str">
        <x:v>Sin coincidencia exacta de nombre/formato</x:v>
      </x:c>
    </x:row>
    <x:row r="6" ht="79.19999694824219" hidden="0" customHeight="1">
      <x:c r="A6" s="40" t="str">
        <x:v>Carne</x:v>
      </x:c>
      <x:c r="B6" s="40" t="str">
        <x:v>C00031</x:v>
      </x:c>
      <x:c r="C6" s="40" t="str">
        <x:v>MUGE</x:v>
      </x:c>
      <x:c r="D6" s="40" t="str">
        <x:v>VACIO PORCIONADO A</x:v>
      </x:c>
      <x:c r="E6" s="41" t="n">
        <x:v>465.073</x:v>
      </x:c>
      <x:c r="F6" s="41" t="n">
        <x:v>0</x:v>
      </x:c>
      <x:c r="G6" s="40" t="str">
        <x:v>NO</x:v>
      </x:c>
      <x:c r="H6" s="40" t="str">
        <x:v>SI</x:v>
      </x:c>
      <x:c r="I6" s="40" t="str">
        <x:v>PRECIO PENDIENTE</x:v>
      </x:c>
      <x:c r="J6" s="40" t="str">
        <x:v>Sin coincidencia exacta de nombre/formato</x:v>
      </x:c>
    </x:row>
    <x:row r="7" ht="79.19999694824219" hidden="0" customHeight="1">
      <x:c r="A7" s="40" t="str">
        <x:v>Carne</x:v>
      </x:c>
      <x:c r="B7" s="40" t="str">
        <x:v>C00105</x:v>
      </x:c>
      <x:c r="C7" s="40" t="str">
        <x:v>PICO</x:v>
      </x:c>
      <x:c r="D7" s="40" t="str">
        <x:v>LOMO SIN CORDON</x:v>
      </x:c>
      <x:c r="E7" s="41" t="n">
        <x:v>76.12</x:v>
      </x:c>
      <x:c r="F7" s="41" t="n">
        <x:v>0</x:v>
      </x:c>
      <x:c r="G7" s="40" t="str">
        <x:v>NO</x:v>
      </x:c>
      <x:c r="H7" s="40" t="str">
        <x:v>SI</x:v>
      </x:c>
      <x:c r="I7" s="40" t="str">
        <x:v>PRECIO PENDIENTE</x:v>
      </x:c>
      <x:c r="J7" s="40" t="str">
        <x:v>Sin coincidencia exacta de nombre/formato</x:v>
      </x:c>
    </x:row>
    <x:row r="8" ht="79.19999694824219" hidden="0" customHeight="1">
      <x:c r="A8" s="40" t="str">
        <x:v>Carne</x:v>
      </x:c>
      <x:c r="B8" s="40" t="str">
        <x:v>C00300</x:v>
      </x:c>
      <x:c r="C8" s="40" t="str">
        <x:v>ABP</x:v>
      </x:c>
      <x:c r="D8" s="40" t="str">
        <x:v>ASADO CON HUESO ANGUS IRLANDA</x:v>
      </x:c>
      <x:c r="E8" s="41" t="n">
        <x:v>0</x:v>
      </x:c>
      <x:c r="F8" s="41" t="n">
        <x:v>0</x:v>
      </x:c>
      <x:c r="G8" s="40" t="str">
        <x:v>NO</x:v>
      </x:c>
      <x:c r="H8" s="40" t="str">
        <x:v>NO</x:v>
      </x:c>
      <x:c r="I8" s="40" t="str">
        <x:v>SIN STOCK</x:v>
      </x:c>
      <x:c r="J8" s="40" t="str">
        <x:v>Sin coincidencia exacta de nombre/formato</x:v>
      </x:c>
    </x:row>
    <x:row r="9" ht="79.19999694824219" hidden="0" customHeight="1">
      <x:c r="A9" s="40" t="str">
        <x:v>Carne</x:v>
      </x:c>
      <x:c r="B9" s="40" t="str">
        <x:v>C00352</x:v>
      </x:c>
      <x:c r="C9" s="40" t="str">
        <x:v>BLUESMOKE</x:v>
      </x:c>
      <x:c r="D9" s="40" t="str">
        <x:v>COWBOY 700/900 CAJA 5X2 PIEZAS</x:v>
      </x:c>
      <x:c r="E9" s="41" t="n">
        <x:v>311.74</x:v>
      </x:c>
      <x:c r="F9" s="41" t="n">
        <x:v>0</x:v>
      </x:c>
      <x:c r="G9" s="40" t="str">
        <x:v>NO</x:v>
      </x:c>
      <x:c r="H9" s="40" t="str">
        <x:v>SI</x:v>
      </x:c>
      <x:c r="I9" s="40" t="str">
        <x:v>PRECIO PENDIENTE</x:v>
      </x:c>
      <x:c r="J9" s="40" t="str">
        <x:v>Sin coincidencia exacta de nombre/formato</x:v>
      </x:c>
    </x:row>
    <x:row r="10" ht="79.19999694824219" hidden="0" customHeight="1">
      <x:c r="A10" s="40" t="str">
        <x:v>Carne</x:v>
      </x:c>
      <x:c r="B10" s="40" t="str">
        <x:v>C00400</x:v>
      </x:c>
      <x:c r="C10" s="40" t="str">
        <x:v>SAPHI</x:v>
      </x:c>
      <x:c r="D10" s="40" t="str">
        <x:v>BIFE ANGOSTO PORCIONADO</x:v>
      </x:c>
      <x:c r="E10" s="41" t="n">
        <x:v>591</x:v>
      </x:c>
      <x:c r="F10" s="41" t="n">
        <x:v>0</x:v>
      </x:c>
      <x:c r="G10" s="40" t="str">
        <x:v>NO</x:v>
      </x:c>
      <x:c r="H10" s="40" t="str">
        <x:v>SI</x:v>
      </x:c>
      <x:c r="I10" s="40" t="str">
        <x:v>PRECIO PENDIENTE</x:v>
      </x:c>
      <x:c r="J10" s="40" t="str">
        <x:v>Sin coincidencia exacta de nombre/formato</x:v>
      </x:c>
    </x:row>
    <x:row r="11" ht="79.19999694824219" hidden="0" customHeight="1">
      <x:c r="A11" s="40" t="str">
        <x:v>Carne</x:v>
      </x:c>
      <x:c r="B11" s="40" t="str">
        <x:v>C00600</x:v>
      </x:c>
      <x:c r="C11" s="40" t="str">
        <x:v>KEPAK</x:v>
      </x:c>
      <x:c r="D11" s="40" t="str">
        <x:v>ASADO CON HUESO 3 COSTILLAS BLACK ANGUS</x:v>
      </x:c>
      <x:c r="E11" s="41" t="n">
        <x:v>3252.56</x:v>
      </x:c>
      <x:c r="F11" s="41" t="n">
        <x:v>0</x:v>
      </x:c>
      <x:c r="G11" s="40" t="str">
        <x:v>NO</x:v>
      </x:c>
      <x:c r="H11" s="40" t="str">
        <x:v>SI</x:v>
      </x:c>
      <x:c r="I11" s="40" t="str">
        <x:v>PRECIO PENDIENTE</x:v>
      </x:c>
      <x:c r="J11" s="40" t="str">
        <x:v>Sin coincidencia exacta de nombre/formato</x:v>
      </x:c>
    </x:row>
    <x:row r="12" ht="79.19999694824219" hidden="0" customHeight="1">
      <x:c r="A12" s="40" t="str">
        <x:v>Carne</x:v>
      </x:c>
      <x:c r="B12" s="40" t="str">
        <x:v>C00601</x:v>
      </x:c>
      <x:c r="C12" s="40" t="str">
        <x:v>KEPAK</x:v>
      </x:c>
      <x:c r="D12" s="40" t="str">
        <x:v>BABILLA BLACK ANGUS</x:v>
      </x:c>
      <x:c r="E12" s="41" t="n">
        <x:v>662.96</x:v>
      </x:c>
      <x:c r="F12" s="41" t="n">
        <x:v>0</x:v>
      </x:c>
      <x:c r="G12" s="40" t="str">
        <x:v>NO</x:v>
      </x:c>
      <x:c r="H12" s="40" t="str">
        <x:v>SI</x:v>
      </x:c>
      <x:c r="I12" s="40" t="str">
        <x:v>PRECIO PENDIENTE</x:v>
      </x:c>
      <x:c r="J12" s="40" t="str">
        <x:v>Sin coincidencia exacta de nombre/formato</x:v>
      </x:c>
    </x:row>
    <x:row r="13" ht="79.19999694824219" hidden="0" customHeight="1">
      <x:c r="A13" s="40" t="str">
        <x:v>Carne</x:v>
      </x:c>
      <x:c r="B13" s="40" t="str">
        <x:v>C00610</x:v>
      </x:c>
      <x:c r="C13" s="40" t="str">
        <x:v>KEPAK</x:v>
      </x:c>
      <x:c r="D13" s="40" t="str">
        <x:v>WAGYU ASADO CON HUESO 3 COSTILLAS</x:v>
      </x:c>
      <x:c r="E13" s="41" t="n">
        <x:v>0</x:v>
      </x:c>
      <x:c r="F13" s="41" t="n">
        <x:v>0</x:v>
      </x:c>
      <x:c r="G13" s="40" t="str">
        <x:v>NO</x:v>
      </x:c>
      <x:c r="H13" s="40" t="str">
        <x:v>NO</x:v>
      </x:c>
      <x:c r="I13" s="40" t="str">
        <x:v>SIN STOCK</x:v>
      </x:c>
      <x:c r="J13" s="40" t="str">
        <x:v>Sin coincidencia exacta de nombre/formato</x:v>
      </x:c>
    </x:row>
    <x:row r="14" ht="79.19999694824219" hidden="0" customHeight="1">
      <x:c r="A14" s="40" t="str">
        <x:v>Carne</x:v>
      </x:c>
      <x:c r="B14" s="40" t="str">
        <x:v>C00701</x:v>
      </x:c>
      <x:c r="C14" s="40" t="str">
        <x:v>RECREO</x:v>
      </x:c>
      <x:c r="D14" s="40" t="str">
        <x:v>PECETO</x:v>
      </x:c>
      <x:c r="E14" s="41" t="n">
        <x:v>0</x:v>
      </x:c>
      <x:c r="F14" s="41" t="n">
        <x:v>0</x:v>
      </x:c>
      <x:c r="G14" s="40" t="str">
        <x:v>NO</x:v>
      </x:c>
      <x:c r="H14" s="40" t="str">
        <x:v>NO</x:v>
      </x:c>
      <x:c r="I14" s="40" t="str">
        <x:v>SIN STOCK</x:v>
      </x:c>
      <x:c r="J14" s="40" t="str">
        <x:v>Sin coincidencia exacta de nombre/formato</x:v>
      </x:c>
    </x:row>
    <x:row r="15" ht="79.19999694824219" hidden="0" customHeight="1">
      <x:c r="A15" s="40" t="str">
        <x:v>Carne</x:v>
      </x:c>
      <x:c r="B15" s="40" t="str">
        <x:v>C01100</x:v>
      </x:c>
      <x:c r="C15" s="40" t="str">
        <x:v>DAWN MEATS</x:v>
      </x:c>
      <x:c r="D15" s="40" t="str">
        <x:v>AGUJA BLACK ANGUS</x:v>
      </x:c>
      <x:c r="E15" s="41" t="n">
        <x:v>0</x:v>
      </x:c>
      <x:c r="F15" s="41" t="n">
        <x:v>0</x:v>
      </x:c>
      <x:c r="G15" s="40" t="str">
        <x:v>NO</x:v>
      </x:c>
      <x:c r="H15" s="40" t="str">
        <x:v>NO</x:v>
      </x:c>
      <x:c r="I15" s="40" t="str">
        <x:v>SIN STOCK</x:v>
      </x:c>
      <x:c r="J15" s="40" t="str">
        <x:v>Sin coincidencia exacta de nombre/formato</x:v>
      </x:c>
    </x:row>
    <x:row r="16" ht="79.19999694824219" hidden="0" customHeight="1">
      <x:c r="A16" s="40" t="str">
        <x:v>Carne</x:v>
      </x:c>
      <x:c r="B16" s="40" t="str">
        <x:v>C01200</x:v>
      </x:c>
      <x:c r="C16" s="40" t="str">
        <x:v>FRN</x:v>
      </x:c>
      <x:c r="D16" s="40" t="str">
        <x:v>COSTILLA RECORTADA</x:v>
      </x:c>
      <x:c r="E16" s="41" t="n">
        <x:v>331.04</x:v>
      </x:c>
      <x:c r="F16" s="41" t="n">
        <x:v>0</x:v>
      </x:c>
      <x:c r="G16" s="40" t="str">
        <x:v>NO</x:v>
      </x:c>
      <x:c r="H16" s="40" t="str">
        <x:v>SI</x:v>
      </x:c>
      <x:c r="I16" s="40" t="str">
        <x:v>PRECIO PENDIENTE</x:v>
      </x:c>
      <x:c r="J16" s="40" t="str">
        <x:v>Sin coincidencia exacta de nombre/formato</x:v>
      </x:c>
    </x:row>
    <x:row r="17" ht="79.19999694824219" hidden="0" customHeight="1">
      <x:c r="A17" s="40" t="str">
        <x:v>Carne</x:v>
      </x:c>
      <x:c r="B17" s="40" t="str">
        <x:v>C01300</x:v>
      </x:c>
      <x:c r="C17" s="40" t="str">
        <x:v>TOMASELLO</x:v>
      </x:c>
      <x:c r="D17" s="40" t="str">
        <x:v>BIFE ANGOSTO</x:v>
      </x:c>
      <x:c r="E17" s="41" t="n">
        <x:v>243.05</x:v>
      </x:c>
      <x:c r="F17" s="41" t="n">
        <x:v>0</x:v>
      </x:c>
      <x:c r="G17" s="40" t="str">
        <x:v>NO</x:v>
      </x:c>
      <x:c r="H17" s="40" t="str">
        <x:v>SI</x:v>
      </x:c>
      <x:c r="I17" s="40" t="str">
        <x:v>PRECIO PENDIENTE</x:v>
      </x:c>
      <x:c r="J17" s="40" t="str">
        <x:v>Sin coincidencia exacta de nombre/formato</x:v>
      </x:c>
    </x:row>
    <x:row r="18" ht="79.19999694824219" hidden="0" customHeight="1">
      <x:c r="A18" s="40" t="str">
        <x:v>Pescado / Marisco</x:v>
      </x:c>
      <x:c r="B18" s="40" t="str">
        <x:v>P00001</x:v>
      </x:c>
      <x:c r="C18" s="40" t="str">
        <x:v>FRN</x:v>
      </x:c>
      <x:c r="D18" s="40" t="str">
        <x:v>ALETA POTON 1000+ 20K</x:v>
      </x:c>
      <x:c r="E18" s="41" t="n">
        <x:v>3320</x:v>
      </x:c>
      <x:c r="F18" s="41" t="n">
        <x:v>0</x:v>
      </x:c>
      <x:c r="G18" s="40" t="str">
        <x:v>NO</x:v>
      </x:c>
      <x:c r="H18" s="40" t="str">
        <x:v>SI</x:v>
      </x:c>
      <x:c r="I18" s="40" t="str">
        <x:v>PRECIO PENDIENTE</x:v>
      </x:c>
      <x:c r="J18" s="40" t="str">
        <x:v>Sin coincidencia exacta de nombre/formato</x:v>
      </x:c>
    </x:row>
    <x:row r="19" ht="79.19999694824219" hidden="0" customHeight="1">
      <x:c r="A19" s="40" t="str">
        <x:v>Pescado / Marisco</x:v>
      </x:c>
      <x:c r="B19" s="40" t="str">
        <x:v>P00002</x:v>
      </x:c>
      <x:c r="C19" s="40" t="str">
        <x:v>FRN</x:v>
      </x:c>
      <x:c r="D19" s="40" t="str">
        <x:v>ALETA POTON 500/1000 20K</x:v>
      </x:c>
      <x:c r="E19" s="41" t="n">
        <x:v>7740</x:v>
      </x:c>
      <x:c r="F19" s="41" t="n">
        <x:v>0</x:v>
      </x:c>
      <x:c r="G19" s="40" t="str">
        <x:v>NO</x:v>
      </x:c>
      <x:c r="H19" s="40" t="str">
        <x:v>SI</x:v>
      </x:c>
      <x:c r="I19" s="40" t="str">
        <x:v>PRECIO PENDIENTE</x:v>
      </x:c>
      <x:c r="J19" s="40" t="str">
        <x:v>Sin coincidencia exacta de nombre/formato</x:v>
      </x:c>
    </x:row>
    <x:row r="20" ht="79.19999694824219" hidden="0" customHeight="1">
      <x:c r="A20" s="40" t="str">
        <x:v>Pescado / Marisco</x:v>
      </x:c>
      <x:c r="B20" s="40" t="str">
        <x:v>P00020</x:v>
      </x:c>
      <x:c r="C20" s="40" t="str">
        <x:v>FRN</x:v>
      </x:c>
      <x:c r="D20" s="40" t="str">
        <x:v>MANTO POTON 1-2 20K</x:v>
      </x:c>
      <x:c r="E20" s="41" t="n">
        <x:v>1200</x:v>
      </x:c>
      <x:c r="F20" s="41" t="n">
        <x:v>0</x:v>
      </x:c>
      <x:c r="G20" s="40" t="str">
        <x:v>NO</x:v>
      </x:c>
      <x:c r="H20" s="40" t="str">
        <x:v>SI</x:v>
      </x:c>
      <x:c r="I20" s="40" t="str">
        <x:v>PRECIO PENDIENTE</x:v>
      </x:c>
      <x:c r="J20" s="40" t="str">
        <x:v>Sin coincidencia exacta de nombre/formato</x:v>
      </x:c>
    </x:row>
    <x:row r="21" ht="79.19999694824219" hidden="0" customHeight="1">
      <x:c r="A21" s="40" t="str">
        <x:v>Pescado / Marisco</x:v>
      </x:c>
      <x:c r="B21" s="40" t="str">
        <x:v>P00021</x:v>
      </x:c>
      <x:c r="C21" s="40" t="str">
        <x:v>FRN</x:v>
      </x:c>
      <x:c r="D21" s="40" t="str">
        <x:v>MANTO POTON 2-4 20K</x:v>
      </x:c>
      <x:c r="E21" s="41" t="n">
        <x:v>2380</x:v>
      </x:c>
      <x:c r="F21" s="41" t="n">
        <x:v>0</x:v>
      </x:c>
      <x:c r="G21" s="40" t="str">
        <x:v>NO</x:v>
      </x:c>
      <x:c r="H21" s="40" t="str">
        <x:v>SI</x:v>
      </x:c>
      <x:c r="I21" s="40" t="str">
        <x:v>PRECIO PENDIENTE</x:v>
      </x:c>
      <x:c r="J21" s="40" t="str">
        <x:v>Sin coincidencia exacta de nombre/formato</x:v>
      </x:c>
    </x:row>
    <x:row r="22" ht="79.19999694824219" hidden="0" customHeight="1">
      <x:c r="A22" s="40" t="str">
        <x:v>Pescado / Marisco</x:v>
      </x:c>
      <x:c r="B22" s="40" t="str">
        <x:v>P00270</x:v>
      </x:c>
      <x:c r="C22" s="40" t="str">
        <x:v>FRN</x:v>
      </x:c>
      <x:c r="D22" s="40" t="str">
        <x:v>PULPO ENTERO COCIDO 800/1500</x:v>
      </x:c>
      <x:c r="E22" s="41" t="n">
        <x:v>352</x:v>
      </x:c>
      <x:c r="F22" s="41" t="n">
        <x:v>0</x:v>
      </x:c>
      <x:c r="G22" s="40" t="str">
        <x:v>NO</x:v>
      </x:c>
      <x:c r="H22" s="40" t="str">
        <x:v>SI</x:v>
      </x:c>
      <x:c r="I22" s="40" t="str">
        <x:v>PRECIO PENDIENTE</x:v>
      </x:c>
      <x:c r="J22" s="40" t="str">
        <x:v>Sin coincidencia exacta de nombre/formato</x:v>
      </x:c>
    </x:row>
    <x:row r="23" ht="79.19999694824219" hidden="0" customHeight="1">
      <x:c r="A23" s="40" t="str">
        <x:v>Pescado / Marisco</x:v>
      </x:c>
      <x:c r="B23" s="40" t="str">
        <x:v>P00306</x:v>
      </x:c>
      <x:c r="C23" s="40" t="str">
        <x:v>NAUTIS</x:v>
      </x:c>
      <x:c r="D23" s="40" t="str">
        <x:v>GAMBON ENTERO L2 20-30 FACTORIA</x:v>
      </x:c>
      <x:c r="E23" s="41" t="n">
        <x:v>3168</x:v>
      </x:c>
      <x:c r="F23" s="41" t="n">
        <x:v>0</x:v>
      </x:c>
      <x:c r="G23" s="40" t="str">
        <x:v>NO</x:v>
      </x:c>
      <x:c r="H23" s="40" t="str">
        <x:v>SI</x:v>
      </x:c>
      <x:c r="I23" s="40" t="str">
        <x:v>PRECIO PENDIENTE</x:v>
      </x:c>
      <x:c r="J23" s="40" t="str">
        <x:v>Sin coincidencia exacta de nombre/formato</x:v>
      </x:c>
    </x:row>
    <x:row r="24" ht="92.4000015258789" hidden="0" customHeight="1">
      <x:c r="A24" s="40" t="str">
        <x:v>Pescado / Marisco</x:v>
      </x:c>
      <x:c r="B24" s="40" t="str">
        <x:v>P00410</x:v>
      </x:c>
      <x:c r="C24" s="40" t="str">
        <x:v>FRN</x:v>
      </x:c>
      <x:c r="D24" s="40" t="str">
        <x:v>COLA GAMBON PELADA 10/30 4,8KG BOX 6X800</x:v>
      </x:c>
      <x:c r="E24" s="41" t="n">
        <x:v>4.8</x:v>
      </x:c>
      <x:c r="F24" s="41" t="n">
        <x:v>0</x:v>
      </x:c>
      <x:c r="G24" s="40" t="str">
        <x:v>NO</x:v>
      </x:c>
      <x:c r="H24" s="40" t="str">
        <x:v>SI</x:v>
      </x:c>
      <x:c r="I24" s="40" t="str">
        <x:v>PRECIO PENDIENTE</x:v>
      </x:c>
      <x:c r="J24" s="40" t="str">
        <x:v>Sin coincidencia exacta de nombre/formato</x:v>
      </x:c>
    </x:row>
    <x:row r="25" ht="79.19999694824219" hidden="0" customHeight="1">
      <x:c r="A25" s="40" t="str">
        <x:v>Pescado / Marisco</x:v>
      </x:c>
      <x:c r="B25" s="40" t="str">
        <x:v>P00412</x:v>
      </x:c>
      <x:c r="C25" s="40" t="str">
        <x:v>FRN</x:v>
      </x:c>
      <x:c r="D25" s="40" t="str">
        <x:v>COLA GAMBON PELADA 10/30 9,6KG C/12KG</x:v>
      </x:c>
      <x:c r="E25" s="41" t="n">
        <x:v>4.8</x:v>
      </x:c>
      <x:c r="F25" s="41" t="n">
        <x:v>0</x:v>
      </x:c>
      <x:c r="G25" s="40" t="str">
        <x:v>NO</x:v>
      </x:c>
      <x:c r="H25" s="40" t="str">
        <x:v>SI</x:v>
      </x:c>
      <x:c r="I25" s="40" t="str">
        <x:v>PRECIO PENDIENTE</x:v>
      </x:c>
      <x:c r="J25" s="40" t="str">
        <x:v>Sin coincidencia exacta de nombre/formato</x:v>
      </x:c>
    </x:row>
    <x:row r="26" ht="79.19999694824219" hidden="0" customHeight="1">
      <x:c r="A26" s="40" t="str">
        <x:v>Pescado / Marisco</x:v>
      </x:c>
      <x:c r="B26" s="40" t="str">
        <x:v>P00414</x:v>
      </x:c>
      <x:c r="C26" s="40" t="str">
        <x:v>FRN</x:v>
      </x:c>
      <x:c r="D26" s="40" t="str">
        <x:v>COLA GAMBON PELADA 10/30 6X1 10%</x:v>
      </x:c>
      <x:c r="E26" s="41" t="n">
        <x:v>852</x:v>
      </x:c>
      <x:c r="F26" s="41" t="n">
        <x:v>0</x:v>
      </x:c>
      <x:c r="G26" s="40" t="str">
        <x:v>NO</x:v>
      </x:c>
      <x:c r="H26" s="40" t="str">
        <x:v>SI</x:v>
      </x:c>
      <x:c r="I26" s="40" t="str">
        <x:v>PRECIO PENDIENTE</x:v>
      </x:c>
      <x:c r="J26" s="40" t="str">
        <x:v>Sin coincidencia exacta de nombre/formato</x:v>
      </x:c>
    </x:row>
    <x:row r="27" ht="79.19999694824219" hidden="0" customHeight="1">
      <x:c r="A27" s="40" t="str">
        <x:v>Pescado / Marisco</x:v>
      </x:c>
      <x:c r="B27" s="40" t="str">
        <x:v>P00513</x:v>
      </x:c>
      <x:c r="C27" s="40" t="str">
        <x:v>FRN</x:v>
      </x:c>
      <x:c r="D27" s="40" t="str">
        <x:v>VIEIRA PAC 20/30 10K GRANEL O BOLSA DE KILO</x:v>
      </x:c>
      <x:c r="E27" s="41" t="n">
        <x:v>8402</x:v>
      </x:c>
      <x:c r="F27" s="41" t="n">
        <x:v>0</x:v>
      </x:c>
      <x:c r="G27" s="40" t="str">
        <x:v>NO</x:v>
      </x:c>
      <x:c r="H27" s="40" t="str">
        <x:v>SI</x:v>
      </x:c>
      <x:c r="I27" s="40" t="str">
        <x:v>PRECIO PENDIENTE</x:v>
      </x:c>
      <x:c r="J27" s="40" t="str">
        <x:v>Sin coincidencia exacta de nombre/formato</x:v>
      </x:c>
    </x:row>
    <x:row r="28" ht="79.19999694824219" hidden="0" customHeight="1">
      <x:c r="A28" s="40" t="str">
        <x:v>Pescado / Marisco</x:v>
      </x:c>
      <x:c r="B28" s="40" t="str">
        <x:v>P00514</x:v>
      </x:c>
      <x:c r="C28" s="40" t="str">
        <x:v>FRN</x:v>
      </x:c>
      <x:c r="D28" s="40" t="str">
        <x:v>VIEIRA 20/30 10X800G</x:v>
      </x:c>
      <x:c r="E28" s="41" t="n">
        <x:v>-560</x:v>
      </x:c>
      <x:c r="F28" s="41" t="n">
        <x:v>0</x:v>
      </x:c>
      <x:c r="G28" s="40" t="str">
        <x:v>NO</x:v>
      </x:c>
      <x:c r="H28" s="40" t="str">
        <x:v>NO</x:v>
      </x:c>
      <x:c r="I28" s="40" t="str">
        <x:v>STOCK NEGATIVO</x:v>
      </x:c>
      <x:c r="J28" s="40" t="str">
        <x:v>Sin coincidencia exacta de nombre/formato</x:v>
      </x:c>
    </x:row>
    <x:row r="29" ht="79.19999694824219" hidden="0" customHeight="1">
      <x:c r="A29" s="40" t="str">
        <x:v>Pescado / Marisco</x:v>
      </x:c>
      <x:c r="B29" s="40" t="str">
        <x:v>P00515</x:v>
      </x:c>
      <x:c r="C29" s="40" t="str">
        <x:v>FRN</x:v>
      </x:c>
      <x:c r="D29" s="40" t="str">
        <x:v>VIEIRA 20/30 11X1 OCEANIC</x:v>
      </x:c>
      <x:c r="E29" s="41" t="n">
        <x:v>341</x:v>
      </x:c>
      <x:c r="F29" s="41" t="n">
        <x:v>0</x:v>
      </x:c>
      <x:c r="G29" s="40" t="str">
        <x:v>NO</x:v>
      </x:c>
      <x:c r="H29" s="40" t="str">
        <x:v>SI</x:v>
      </x:c>
      <x:c r="I29" s="40" t="str">
        <x:v>PRECIO PENDIENTE</x:v>
      </x:c>
      <x:c r="J29" s="40" t="str">
        <x:v>Sin coincidencia exacta de nombre/formato</x:v>
      </x:c>
    </x:row>
    <x:row r="30" ht="79.19999694824219" hidden="0" customHeight="1">
      <x:c r="A30" s="40" t="str">
        <x:v>Pescado / Marisco</x:v>
      </x:c>
      <x:c r="B30" s="40" t="str">
        <x:v>P00518</x:v>
      </x:c>
      <x:c r="C30" s="40" t="str">
        <x:v>FRN</x:v>
      </x:c>
      <x:c r="D30" s="40" t="str">
        <x:v>VIEIRA 20/30 OCEANIC MP</x:v>
      </x:c>
      <x:c r="E30" s="41" t="n">
        <x:v>111.5</x:v>
      </x:c>
      <x:c r="F30" s="41" t="n">
        <x:v>0</x:v>
      </x:c>
      <x:c r="G30" s="40" t="str">
        <x:v>NO</x:v>
      </x:c>
      <x:c r="H30" s="40" t="str">
        <x:v>SI</x:v>
      </x:c>
      <x:c r="I30" s="40" t="str">
        <x:v>PRECIO PENDIENTE</x:v>
      </x:c>
      <x:c r="J30" s="40" t="str">
        <x:v>Sin coincidencia exacta de nombre/formato</x:v>
      </x:c>
    </x:row>
    <x:row r="31" ht="79.19999694824219" hidden="0" customHeight="1">
      <x:c r="A31" s="40" t="str">
        <x:v>Pescado / Marisco</x:v>
      </x:c>
      <x:c r="B31" s="40" t="str">
        <x:v>P00521</x:v>
      </x:c>
      <x:c r="C31" s="40" t="str">
        <x:v>FRN</x:v>
      </x:c>
      <x:c r="D31" s="40" t="str">
        <x:v>VIEIRA 30/40 10X800G</x:v>
      </x:c>
      <x:c r="E31" s="41" t="n">
        <x:v>-560</x:v>
      </x:c>
      <x:c r="F31" s="41" t="n">
        <x:v>0</x:v>
      </x:c>
      <x:c r="G31" s="40" t="str">
        <x:v>NO</x:v>
      </x:c>
      <x:c r="H31" s="40" t="str">
        <x:v>NO</x:v>
      </x:c>
      <x:c r="I31" s="40" t="str">
        <x:v>STOCK NEGATIVO</x:v>
      </x:c>
      <x:c r="J31" s="40" t="str">
        <x:v>Sin coincidencia exacta de nombre/formato</x:v>
      </x:c>
    </x:row>
    <x:row r="32" ht="79.19999694824219" hidden="0" customHeight="1">
      <x:c r="A32" s="40" t="str">
        <x:v>Pescado / Marisco</x:v>
      </x:c>
      <x:c r="B32" s="40" t="str">
        <x:v>P00522</x:v>
      </x:c>
      <x:c r="C32" s="40" t="str">
        <x:v>FRN</x:v>
      </x:c>
      <x:c r="D32" s="40" t="str">
        <x:v>VIEIRA 30/40 11X1 OCEANIC</x:v>
      </x:c>
      <x:c r="E32" s="41" t="n">
        <x:v>3437</x:v>
      </x:c>
      <x:c r="F32" s="41" t="n">
        <x:v>0</x:v>
      </x:c>
      <x:c r="G32" s="40" t="str">
        <x:v>NO</x:v>
      </x:c>
      <x:c r="H32" s="40" t="str">
        <x:v>SI</x:v>
      </x:c>
      <x:c r="I32" s="40" t="str">
        <x:v>PRECIO PENDIENTE</x:v>
      </x:c>
      <x:c r="J32" s="40" t="str">
        <x:v>Sin coincidencia exacta de nombre/formato</x:v>
      </x:c>
    </x:row>
    <x:row r="33" ht="79.19999694824219" hidden="0" customHeight="1">
      <x:c r="A33" s="40" t="str">
        <x:v>Pescado / Marisco</x:v>
      </x:c>
      <x:c r="B33" s="40" t="str">
        <x:v>P00524</x:v>
      </x:c>
      <x:c r="C33" s="40" t="str">
        <x:v>FRN</x:v>
      </x:c>
      <x:c r="D33" s="40" t="str">
        <x:v>VIEIRA 30/40 OCEANIC MP</x:v>
      </x:c>
      <x:c r="E33" s="41" t="n">
        <x:v>275.5</x:v>
      </x:c>
      <x:c r="F33" s="41" t="n">
        <x:v>0</x:v>
      </x:c>
      <x:c r="G33" s="40" t="str">
        <x:v>NO</x:v>
      </x:c>
      <x:c r="H33" s="40" t="str">
        <x:v>SI</x:v>
      </x:c>
      <x:c r="I33" s="40" t="str">
        <x:v>PRECIO PENDIENTE</x:v>
      </x:c>
      <x:c r="J33" s="40" t="str">
        <x:v>Sin coincidencia exacta de nombre/formato</x:v>
      </x:c>
    </x:row>
    <x:row r="34" ht="79.19999694824219" hidden="0" customHeight="1">
      <x:c r="A34" s="40" t="str">
        <x:v>Pescado / Marisco</x:v>
      </x:c>
      <x:c r="B34" s="40" t="str">
        <x:v>P00600</x:v>
      </x:c>
      <x:c r="C34" s="40" t="str">
        <x:v>FRN</x:v>
      </x:c>
      <x:c r="D34" s="40" t="str">
        <x:v>PULPO ENTERO 2-3KG FAO27 MP</x:v>
      </x:c>
      <x:c r="E34" s="41" t="n">
        <x:v>11469</x:v>
      </x:c>
      <x:c r="F34" s="41" t="n">
        <x:v>0</x:v>
      </x:c>
      <x:c r="G34" s="40" t="str">
        <x:v>NO</x:v>
      </x:c>
      <x:c r="H34" s="40" t="str">
        <x:v>SI</x:v>
      </x:c>
      <x:c r="I34" s="40" t="str">
        <x:v>PRECIO PENDIENTE</x:v>
      </x:c>
      <x:c r="J34" s="40" t="str">
        <x:v>Sin coincidencia exacta de nombre/formato</x:v>
      </x:c>
    </x:row>
    <x:row r="35" ht="79.19999694824219" hidden="0" customHeight="1">
      <x:c r="A35" s="40" t="str">
        <x:v>Pescado / Marisco</x:v>
      </x:c>
      <x:c r="B35" s="40" t="str">
        <x:v>P00660</x:v>
      </x:c>
      <x:c r="C35" s="40" t="str">
        <x:v>FRN</x:v>
      </x:c>
      <x:c r="D35" s="40" t="str">
        <x:v>PULPO T0 VIRGEN LIMPIO +5K</x:v>
      </x:c>
      <x:c r="E35" s="41" t="n">
        <x:v>3247.294</x:v>
      </x:c>
      <x:c r="F35" s="41" t="n">
        <x:v>0</x:v>
      </x:c>
      <x:c r="G35" s="40" t="str">
        <x:v>NO</x:v>
      </x:c>
      <x:c r="H35" s="40" t="str">
        <x:v>SI</x:v>
      </x:c>
      <x:c r="I35" s="40" t="str">
        <x:v>PRECIO PENDIENTE</x:v>
      </x:c>
      <x:c r="J35" s="40" t="str">
        <x:v>Sin coincidencia exacta de nombre/formato</x:v>
      </x:c>
    </x:row>
    <x:row r="36" ht="79.19999694824219" hidden="0" customHeight="1">
      <x:c r="A36" s="40" t="str">
        <x:v>Pescado / Marisco</x:v>
      </x:c>
      <x:c r="B36" s="40" t="str">
        <x:v>P00665</x:v>
      </x:c>
      <x:c r="C36" s="40" t="str">
        <x:v>FRN</x:v>
      </x:c>
      <x:c r="D36" s="40" t="str">
        <x:v>PULPO T5 VIRGEN LIMPIO 1,2-1,5K</x:v>
      </x:c>
      <x:c r="E36" s="41" t="n">
        <x:v>92.544</x:v>
      </x:c>
      <x:c r="F36" s="41" t="n">
        <x:v>0</x:v>
      </x:c>
      <x:c r="G36" s="40" t="str">
        <x:v>NO</x:v>
      </x:c>
      <x:c r="H36" s="40" t="str">
        <x:v>SI</x:v>
      </x:c>
      <x:c r="I36" s="40" t="str">
        <x:v>PRECIO PENDIENTE</x:v>
      </x:c>
      <x:c r="J36" s="40" t="str">
        <x:v>Sin coincidencia exacta de nombre/formato</x:v>
      </x:c>
    </x:row>
    <x:row r="37" ht="79.19999694824219" hidden="0" customHeight="1">
      <x:c r="A37" s="40" t="str">
        <x:v>Pescado / Marisco</x:v>
      </x:c>
      <x:c r="B37" s="40" t="str">
        <x:v>P00666</x:v>
      </x:c>
      <x:c r="C37" s="40" t="str">
        <x:v>FRN</x:v>
      </x:c>
      <x:c r="D37" s="40" t="str">
        <x:v>PULPO T6 VIRGEN LIMPIO 0,8-1,2K</x:v>
      </x:c>
      <x:c r="E37" s="41" t="n">
        <x:v>47.432</x:v>
      </x:c>
      <x:c r="F37" s="41" t="n">
        <x:v>0</x:v>
      </x:c>
      <x:c r="G37" s="40" t="str">
        <x:v>NO</x:v>
      </x:c>
      <x:c r="H37" s="40" t="str">
        <x:v>SI</x:v>
      </x:c>
      <x:c r="I37" s="40" t="str">
        <x:v>PRECIO PENDIENTE</x:v>
      </x:c>
      <x:c r="J37" s="40" t="str">
        <x:v>Sin coincidencia exacta de nombre/formato</x:v>
      </x:c>
    </x:row>
    <x:row r="38" ht="79.19999694824219" hidden="0" customHeight="1">
      <x:c r="A38" s="40" t="str">
        <x:v>Pescado / Marisco</x:v>
      </x:c>
      <x:c r="B38" s="40" t="str">
        <x:v>P00680</x:v>
      </x:c>
      <x:c r="C38" s="40" t="str">
        <x:v>FRN</x:v>
      </x:c>
      <x:c r="D38" s="40" t="str">
        <x:v>PULPO T1 BLOQUE SENEGAL 4-5 KG</x:v>
      </x:c>
      <x:c r="E38" s="41" t="n">
        <x:v>2135.4</x:v>
      </x:c>
      <x:c r="F38" s="41" t="n">
        <x:v>0</x:v>
      </x:c>
      <x:c r="G38" s="40" t="str">
        <x:v>NO</x:v>
      </x:c>
      <x:c r="H38" s="40" t="str">
        <x:v>SI</x:v>
      </x:c>
      <x:c r="I38" s="40" t="str">
        <x:v>PRECIO PENDIENTE</x:v>
      </x:c>
      <x:c r="J38" s="40" t="str">
        <x:v>Sin coincidencia exacta de nombre/formato</x:v>
      </x:c>
    </x:row>
  </x:sheetData>
  <x:pageMargins left="0.7" right="0.7" top="0.75" bottom="0.75" header="0.3" footer="0.3"/>
</x:worksheet>
</file>